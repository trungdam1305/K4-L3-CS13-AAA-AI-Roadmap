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VinAI\K4-CS2-CS13\K4-L3-CS13-AAA-AI-Roadmap\"/>
    </mc:Choice>
  </mc:AlternateContent>
  <xr:revisionPtr revIDLastSave="0" documentId="13_ncr:1_{FEAFE5BD-48D4-4AF0-83D2-602420ACDDBF}" xr6:coauthVersionLast="47" xr6:coauthVersionMax="47" xr10:uidLastSave="{00000000-0000-0000-0000-000000000000}"/>
  <bookViews>
    <workbookView xWindow="-120" yWindow="-120" windowWidth="29040" windowHeight="17520" tabRatio="500" xr2:uid="{00000000-000D-0000-FFFF-FFFF00000000}"/>
  </bookViews>
  <sheets>
    <sheet name="0_Hướng dẫn" sheetId="1" r:id="rId1"/>
    <sheet name="0_Đầu vào" sheetId="2" r:id="rId2"/>
    <sheet name="1_Danh sách việc" sheetId="3" r:id="rId3"/>
    <sheet name="2_Mức tự động" sheetId="4" r:id="rId4"/>
    <sheet name="3_Bảng lộ trình" sheetId="5" r:id="rId5"/>
    <sheet name="4_Rà soát" sheetId="6" r:id="rId6"/>
    <sheet name="5_Slide lãnh đạo" sheetId="7" r:id="rId7"/>
    <sheet name="6_Tự kiểm tra" sheetId="8" r:id="rId8"/>
    <sheet name="7_Thang điểm" sheetId="9" r:id="rId9"/>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 i="9" l="1"/>
  <c r="B10" i="9"/>
  <c r="B10" i="8"/>
  <c r="C10" i="8" s="1"/>
  <c r="B9" i="8"/>
  <c r="C9" i="8" s="1"/>
  <c r="B8" i="8"/>
  <c r="C8" i="8" s="1"/>
  <c r="C8" i="7"/>
  <c r="D8" i="7" s="1"/>
  <c r="C7" i="7"/>
  <c r="D7" i="7" s="1"/>
  <c r="C6" i="7"/>
  <c r="D6" i="7" s="1"/>
  <c r="C5" i="7"/>
  <c r="D5" i="7" s="1"/>
  <c r="C4" i="7"/>
  <c r="D4" i="7" s="1"/>
  <c r="B11" i="8" s="1"/>
  <c r="C11" i="8" s="1"/>
  <c r="M8" i="4"/>
  <c r="J8" i="4"/>
  <c r="K8" i="4" s="1"/>
  <c r="L8" i="4" s="1"/>
  <c r="M7" i="4"/>
  <c r="J7" i="4"/>
  <c r="K7" i="4" s="1"/>
  <c r="L7" i="4" s="1"/>
  <c r="M6" i="4"/>
  <c r="B7" i="8" s="1"/>
  <c r="C7" i="8" s="1"/>
  <c r="J6" i="4"/>
  <c r="K6" i="4" s="1"/>
  <c r="L6" i="4" s="1"/>
  <c r="J5" i="4"/>
  <c r="K5" i="4" s="1"/>
  <c r="L5" i="4" s="1"/>
  <c r="O14" i="3"/>
  <c r="M14" i="3"/>
  <c r="N14" i="3" s="1"/>
  <c r="O13" i="3"/>
  <c r="M13" i="3"/>
  <c r="N13" i="3" s="1"/>
  <c r="O12" i="3"/>
  <c r="M12" i="3"/>
  <c r="N12" i="3" s="1"/>
  <c r="O11" i="3"/>
  <c r="M11" i="3"/>
  <c r="O10" i="3"/>
  <c r="M10" i="3"/>
  <c r="O9" i="3"/>
  <c r="M9" i="3"/>
  <c r="O8" i="3"/>
  <c r="M8" i="3"/>
  <c r="O7" i="3"/>
  <c r="M7" i="3"/>
  <c r="O6" i="3"/>
  <c r="M6" i="3"/>
  <c r="O5" i="3"/>
  <c r="B6" i="8" s="1"/>
  <c r="M5" i="3"/>
  <c r="B12" i="2"/>
  <c r="N10" i="3" l="1"/>
  <c r="B12" i="8"/>
  <c r="C12" i="8" s="1"/>
  <c r="N11" i="3"/>
  <c r="N9" i="3"/>
  <c r="N6" i="3"/>
  <c r="N7" i="3"/>
  <c r="N8" i="3"/>
  <c r="B5" i="8"/>
  <c r="N5" i="3"/>
  <c r="C5" i="8" l="1"/>
  <c r="C6" i="8"/>
</calcChain>
</file>

<file path=xl/sharedStrings.xml><?xml version="1.0" encoding="utf-8"?>
<sst xmlns="http://schemas.openxmlformats.org/spreadsheetml/2006/main" count="310" uniqueCount="295">
  <si>
    <t>CS13 · Lộ trình sản phẩm AI — File thực hành · Đề 1 · SổSạch</t>
  </si>
  <si>
    <t>AI in Action · Track 1 · Khóa 4. FILE LÀM BÀI CỦA NHÓM · Đề 1 · SổSạch. Dữ liệu của đề nằm trong file CS13_HoSoTinhHuong.pdf; file CS13_Roadmap_Mau.xlsx là bản mẫu đã điền (một sản phẩm khác) để xem cách điền.</t>
  </si>
  <si>
    <t>Luật chơi: CHỈ điền vào ô màu VÀNG. Ô màu XANH là công thức và đã được khóa. Bắt đầu bằng trang 0_Đầu vào (Nhiệm vụ 0: đọc hồ sơ tình huống).</t>
  </si>
  <si>
    <t>Thứ tự làm: 0 Đọc hồ sơ → 1 Danh sách việc → 2 Mức tự động → 3 Bảng lộ trình → 4 Rà soát → 6 Tự kiểm tra. Trang 5 (slide lãnh đạo) làm ở nhà.</t>
  </si>
  <si>
    <t>Số liệu kinh tế của đề đã điền sẵn ở trang 2, dòng 12–20. Không cần file của buổi nào khác: mọi dữ liệu cần dùng nằm trong hồ sơ tình huống, Đề 1.</t>
  </si>
  <si>
    <t>Lộ trình theo GIẢ THUYẾT: mỗi hạng mục phải trả lời 'Ta tin rằng làm X sẽ giúp Y đạt Z; biết đúng khi chỉ số W đạt ngưỡng V'.</t>
  </si>
  <si>
    <t>Tên file nộp: [Nhom]_CS13.xlsx · Nộp bản có Nhiệm vụ 1–4 lên VLearn trước 18:00 ngày 16/10. Trang 5 (Nhiệm vụ 5, làm ở nhà) nộp trước 23:59 ngày 19/10.</t>
  </si>
  <si>
    <t>Tuân thủ: Luật Trí tuệ nhân tạo số 134/2025/QH15 (hiệu lực 01/3/2026) chia hệ thống AI thành 3 mức rủi ro và yêu cầu người dùng được thông tin khi tương tác với AI. Đọc văn bản gốc trước khi ghi vào bài.</t>
  </si>
  <si>
    <t>Chú thích màu:</t>
  </si>
  <si>
    <t>Ô điền giả định (không khóa)</t>
  </si>
  <si>
    <t>Ô công thức (tự tính, đã khóa)</t>
  </si>
  <si>
    <t>0 · Nhiệm vụ 0: đọc hồ sơ tình huống, Đề 1 (5 phút)</t>
  </si>
  <si>
    <t>Cả nhóm đọc cùng một hồ sơ trước khi điền. Nhiệm vụ 0 không tính điểm; đánh dấu "Có" khi cả nhóm đã đọc mục đó.</t>
  </si>
  <si>
    <t>Mục trong hồ sơ tình huống</t>
  </si>
  <si>
    <t>Nhóm đã đọc chưa?</t>
  </si>
  <si>
    <t>Dùng ở đâu trong file</t>
  </si>
  <si>
    <t>Lưu ý</t>
  </si>
  <si>
    <t>Ghi chú của nhóm</t>
  </si>
  <si>
    <t>Số liệu kinh tế của đề (9 dòng)</t>
  </si>
  <si>
    <t>Có</t>
  </si>
  <si>
    <t>Đã điền sẵn ở trang 2, dòng 12–20: chi phí mỗi việc, biên lợi nhuận, điều kiện dừng</t>
  </si>
  <si>
    <t>Đọc để hiểu; không cần chép</t>
  </si>
  <si>
    <t>Đã đọc 9 dòng. Dùng: chi phí 254 + 200 đ/việc, 1,5 phút × 50.000 đ/giờ, doanh thu 3,97 triệu, 1.760 việc/khách/tháng, hết tiền tháng 7</t>
  </si>
  <si>
    <t>Bối cảnh, sản phẩm, "1 việc" là gì</t>
  </si>
  <si>
    <t>Giả thuyết và chỉ số ở trang 1</t>
  </si>
  <si>
    <t>Viết giả thuyết theo đúng "1 việc" của đề</t>
  </si>
  <si>
    <t>1 việc = 1 hoá đơn được đọc, đối chiếu và nhập vào phần mềm kế toán; thử nghiệm 40 doanh nghiệp, ≈ 12.000 hoá đơn/tháng</t>
  </si>
  <si>
    <t>6 việc gợi ý</t>
  </si>
  <si>
    <t>Trang 1, cột B–C; nhóm được thêm việc của mình</t>
  </si>
  <si>
    <t>Giữ, bỏ hay đổi thứ tự đều phải ghi lý do ở cột Q</t>
  </si>
  <si>
    <t>Giữ cả 6 việc gợi ý, thêm việc 7 (kiểm chứng doanh thu bình quân); lý do xếp hạng, Mua/Chờ/Không làm ghi ở cột Q trang 1</t>
  </si>
  <si>
    <t>Kết quả đánh giá đã có (bộ đề, cổng phát hành)</t>
  </si>
  <si>
    <t>Cổng đánh giá ở trang 2; việc cần làm trước ở trang 3</t>
  </si>
  <si>
    <t>Đề 2, 3: kết luận chưa phải "Phát hành" → có việc phải làm trước</t>
  </si>
  <si>
    <t>Bản 2 qua cổng: 97,3% ≥ 95%, lỗi nghiêm trọng 0, số tầng tụt 0, kappa 0,90; bộ đề 40 ca, 4 tầng 65/25/7/3%; kết luận Phát hành</t>
  </si>
  <si>
    <t>Chuyên gia và số giờ của họ</t>
  </si>
  <si>
    <t>Dòng "Điều kiện cần" ở trang 3; ô "Cần gì" ở trang 5</t>
  </si>
  <si>
    <t>Dẫn đúng số giờ trong hồ sơ</t>
  </si>
  <si>
    <t>Chị Hạnh 3 giờ sáng thứ Bảy/tuần; 1 vòng bộ đề 40 ca ≈ 8,5 giờ chuyên gia; anh Tùng chấm được</t>
  </si>
  <si>
    <t>Gợi ý về người duyệt và mức tự động</t>
  </si>
  <si>
    <t>Trang 2, cột H và I</t>
  </si>
  <si>
    <t>Đề 3: bác sĩ của bệnh viện không tính vào chi phí</t>
  </si>
  <si>
    <t>Gợi ý: Mức 1 duyệt ≈ 20% (hoá đơn gắn cờ + mẫu 10%), Mức 2 ≈ 10%; người duyệt là kế toán viên của công ty. Đã nhờ AI (Claude) đánh giá việc nào dễ bị mô hình miễn phí làm thay (slide 81): hỏi đáp thuế chung và đọc ảnh cơ bản dễ bị thay; nhập hoá đơn điện tử đã có trong phần mềm; gắn cờ và đối chiếu MST khó thay hơn; đã đối chiếu với hồ sơ để chấm cột L</t>
  </si>
  <si>
    <t>Số mục nhóm đã đọc</t>
  </si>
  <si>
    <t>Đủ 6/6 thì sang Nhiệm vụ 1.</t>
  </si>
  <si>
    <t>1 · Danh sách việc và chấm điểm ưu tiên</t>
  </si>
  <si>
    <t>Điểm = Độ phủ × Tác động × Mức tự tin ÷ Công sức × (0,5 + 0,5 × sẵn sàng trung bình của dữ liệu và đánh giá) × (1 − 0,5 × rủi ro bị 'nuốt')</t>
  </si>
  <si>
    <t>STT</t>
  </si>
  <si>
    <t>Việc</t>
  </si>
  <si>
    <t>Kết quả muốn đạt</t>
  </si>
  <si>
    <t>Giả thuyết (Ta tin rằng…)</t>
  </si>
  <si>
    <t>Chỉ số thành công và ngưỡng</t>
  </si>
  <si>
    <t>Độ phủ 1–5</t>
  </si>
  <si>
    <t>Tác động 1–5</t>
  </si>
  <si>
    <t>Mức tự tin 0,5 / 0,8 / 1</t>
  </si>
  <si>
    <t>Công sức 1–5</t>
  </si>
  <si>
    <t>Sẵn sàng dữ liệu 0–1</t>
  </si>
  <si>
    <t>Sẵn sàng đánh giá 0–1</t>
  </si>
  <si>
    <t>Rủi ro bị nuốt 0–1</t>
  </si>
  <si>
    <t>ĐIỂM</t>
  </si>
  <si>
    <t>Xếp hạng</t>
  </si>
  <si>
    <t>Chỉ số có con số?</t>
  </si>
  <si>
    <t>Tự làm / Mua / Chờ / Không làm</t>
  </si>
  <si>
    <t>Lý do (đổi thứ tự, chọn mua hay chờ…)</t>
  </si>
  <si>
    <t>Đọc ảnh hoá đơn giấy, ảnh chụp</t>
  </si>
  <si>
    <t>Giảm 50% giờ nhập hoá đơn ảnh</t>
  </si>
  <si>
    <t>Ta tin rằng cho AI đọc ảnh hoá đơn theo hai bước (bản 2) cho kế toán viên ở văn phòng kế toán dịch vụ sẽ giảm 50% giờ nhập hoá đơn ảnh mà không tăng lỗi mã số thuế (MST) và tiền</t>
  </si>
  <si>
    <t>Giờ nhập 1 hoá đơn ảnh giảm ≥ 50% so với nhập tay; tỷ lệ đạt quy về thực tế ≥ 95%; lỗi nghiêm trọng (MST, tiền) = 0; đo trên bộ đề 40 hoá đơn rồi ≥ 2.000 hoá đơn thật</t>
  </si>
  <si>
    <t>Tự làm</t>
  </si>
  <si>
    <t>Hạng 3. Là lõi sản phẩm; bản 2 đã qua cổng phát hành (97,3% ≥ 95%, lỗi nghiêm trọng 0, kappa 0,90) nhưng chỉ an toàn khi đi cùng gắn cờ (hạng 1). Rủi ro bị nuốt 0,4: mô hình chung đọc được ảnh nhưng không có gắn cờ và đối chiếu MST</t>
  </si>
  <si>
    <t>Gắn cờ hoá đơn cần người xem</t>
  </si>
  <si>
    <t>Kế toán chỉ xem khoảng 20% hoá đơn</t>
  </si>
  <si>
    <t>Ta tin rằng gắn cờ đúng những hoá đơn AI không chắc cho kế toán viên sẽ giúp họ chỉ xem khoảng 20% hoá đơn mà vẫn không để lọt hoá đơn sai MST hoặc sai tiền</t>
  </si>
  <si>
    <t>Hoá đơn gắn cờ ≤ 20%; lỗi MST/tiền không được gắn cờ (bỏ lọt) = 0 trên ≥ 2.000 hoá đơn thật; cờ thừa đếm riêng và báo cáo hằng tuần</t>
  </si>
  <si>
    <t>Hạng 1: công sức thấp, tác động cao. Chị Hạnh: sai MST hay tiền thì không được lần nào, nhưng ngày nào cũng gắn cờ một nửa số hoá đơn thì không ai dùng → cờ là điều kiện để lên Mức 1. Dữ liệu riêng của văn phòng nên khó bị nuốt (0,2)</t>
  </si>
  <si>
    <t>Nhập tự động hoá đơn điện tử (tệp gốc)</t>
  </si>
  <si>
    <t>Giảm 70% thời gian nhập hoá đơn điện tử</t>
  </si>
  <si>
    <t>Ta tin rằng dùng tính năng nhập hoá đơn điện tử từ tệp gốc đã có sẵn trong phần mềm kế toán sẽ giúp kế toán viên giảm 70% thời gian nhập, không cần xây mô hình riêng</t>
  </si>
  <si>
    <t>Thời gian nhập 1 hoá đơn điện tử giảm ≥ 70%; trường MST và tiền nhập đúng 100% trên mẫu 200 hoá đơn</t>
  </si>
  <si>
    <t>Mua</t>
  </si>
  <si>
    <t>Hạng 5. Mua: phần mềm kế toán văn phòng đang dùng đã có sẵn tính năng này (hồ sơ), rủi ro bị nuốt 0,9 nên chỉ tích hợp và đối chiếu, không tự xây. Tác động thêm chỉ 2</t>
  </si>
  <si>
    <t>Đối chiếu mã số thuế người bán</t>
  </si>
  <si>
    <t>Không nhập nhầm người bán</t>
  </si>
  <si>
    <t>Ta tin rằng đối chiếu MST người bán với dịch vụ tra cứu MST cho kế toán viên sẽ giúp không còn nhập nhầm người bán</t>
  </si>
  <si>
    <t>Nhập nhầm người bán = 0 trên ≥ 2.000 hoá đơn thật; 100% hoá đơn có MST không khớp dịch vụ tra cứu bị gắn cờ</t>
  </si>
  <si>
    <t>Hạng 2. Mua: có dịch vụ tra cứu MST để tích hợp (hồ sơ). Sai MST là lỗi không được phép (chị Hạnh) nên làm sớm; công sức 2, rủi ro bị nuốt 0,5 vì tra cứu MST là chức năng phổ biến</t>
  </si>
  <si>
    <t>Gợi ý tài khoản hạch toán</t>
  </si>
  <si>
    <t>Giảm 30% thời gian hạch toán</t>
  </si>
  <si>
    <t>Ta tin rằng gợi ý tài khoản hạch toán cho kế toán viên sẽ giúp giảm 30% thời gian hạch toán</t>
  </si>
  <si>
    <t>Thời gian hạch toán 1 hoá đơn giảm ≥ 30%; gợi ý đúng ≥ 90% trên ≥ 200 hoá đơn</t>
  </si>
  <si>
    <t>Chờ</t>
  </si>
  <si>
    <t>Hạng 6. Chờ: chưa có dữ liệu hạch toán của doanh nghiệp khách hàng (hồ sơ) và chưa có bộ đề cho việc này. Xem lại ở ngày 90 hoặc khi có dữ liệu hạch toán của ≥ 5 văn phòng đồng ý chia sẻ</t>
  </si>
  <si>
    <t>Trả lời câu hỏi thuế chung cho khách của văn phòng</t>
  </si>
  <si>
    <t>Bớt cuộc gọi hỏi đáp</t>
  </si>
  <si>
    <t>Ta tin rằng trả lời câu hỏi thuế chung cho khách của văn phòng sẽ giúp bớt cuộc gọi hỏi đáp</t>
  </si>
  <si>
    <t>Số cuộc gọi hỏi đáp thuế giảm ≥ 20% sau 3 tháng</t>
  </si>
  <si>
    <t>Không làm</t>
  </si>
  <si>
    <t>Hạng 7. Không làm: mô hình miễn phí đã trả lời được câu hỏi thuế chung (rủi ro bị nuốt 0,9), chưa có bộ đề, trả lời sai về thuế rủi ro cao và lệch khỏi lõi đọc hoá đơn</t>
  </si>
  <si>
    <t>Kiểm chứng doanh thu bình quân với văn phòng dùng nhiều</t>
  </si>
  <si>
    <t>Biết doanh thu bình quân có giữ ≥ 3,71 triệu/văn phòng</t>
  </si>
  <si>
    <t>Ta tin rằng 30% văn phòng dùng nhiều (chiếm 65% doanh thu) vẫn trả đủ khi mở rộng lên ≥ 10 văn phòng vì chi phí mỗi hoá đơn chỉ khoảng 704 đ ở Mức 1, thấp hơn nhiều doanh thu khoảng 2.256 đ/hoá đơn</t>
  </si>
  <si>
    <t>Doanh thu bình quân ≥ 3,71 triệu/văn phòng trong 2 tháng liên tiếp, trên ≥ 10 văn phòng; ≥ 90% văn phòng dùng nhiều giữ gói</t>
  </si>
  <si>
    <t>Hạng 4. Thêm việc: kiểm chứng biến nguy hiểm nhất của đề (65% doanh thu đến từ 30% văn phòng dùng nhiều) và gắn với điều kiện dừng. Không cần xây thêm, chỉ đo</t>
  </si>
  <si>
    <t>2 · Lộ trình tăng dần mức tự động và cổng đánh giá</t>
  </si>
  <si>
    <t>Mỗi lần lên mức phải qua một cổng đánh giá bằng con số. Chưa qua cổng thì chưa lên mức, dù đã đến ngày. Mức tự động quyết định chi phí mỗi việc: xem cột H–L.</t>
  </si>
  <si>
    <t>Mức</t>
  </si>
  <si>
    <t>Tên mức</t>
  </si>
  <si>
    <t>AI làm gì</t>
  </si>
  <si>
    <t>Người làm gì</t>
  </si>
  <si>
    <t>Cổng đánh giá để lên mức này (chỉ số + ngưỡng + cỡ mẫu)</t>
  </si>
  <si>
    <t>Dữ liệu / hạ tầng / tuân thủ cần có</t>
  </si>
  <si>
    <t>Dự kiến (kế hoạch nội bộ, không phải cam kết)</t>
  </si>
  <si>
    <t>% việc có người duyệt</t>
  </si>
  <si>
    <t>Ai duyệt</t>
  </si>
  <si>
    <t>Chi phí mỗi việc (đ)</t>
  </si>
  <si>
    <t>Biên lợi nhuận gộp</t>
  </si>
  <si>
    <t>Biên ≥ 60%?</t>
  </si>
  <si>
    <t>Cổng có con số?</t>
  </si>
  <si>
    <t>Gợi ý</t>
  </si>
  <si>
    <t>AI đọc hoá đơn, điền các trường (MST, ngày, tiền, người bán) và gắn cờ chỗ không chắc; chưa tự nhập</t>
  </si>
  <si>
    <t>Kế toán viên xem 100% hoá đơn, sửa và bấm nhập; ghi lại mọi chỗ sửa</t>
  </si>
  <si>
    <t>— (mức khởi đầu; bản 2 đã qua cổng phát hành: đạt 97,3% ≥ 95%, lỗi nghiêm trọng 0, kappa 0,90 trên bộ đề 40 hoá đơn)</t>
  </si>
  <si>
    <t>Nhập hoá đơn điện tử từ tệp gốc của phần mềm kế toán; dịch vụ tra cứu MST; nhật ký chỗ sửa; thông báo cho văn phòng biết hoá đơn do AI đọc (Luật AI Điều 11.1); tự phân loại rủi ro, lập hồ sơ phân loại (Điều 10.1); thoả thuận xử lý dữ liệu hoá đơn</t>
  </si>
  <si>
    <t>T1–T2</t>
  </si>
  <si>
    <t>Người của mình</t>
  </si>
  <si>
    <t>Hỗ trợ có duyệt</t>
  </si>
  <si>
    <t>AI tự nhập hoá đơn không bị gắn cờ; hoá đơn gắn cờ chuyển kế toán viên</t>
  </si>
  <si>
    <t>Xem mọi hoá đơn gắn cờ + mẫu ngẫu nhiên 10% (tổng ≈ 20%); đếm cờ thừa hằng tuần; chị Hạnh kiểm 1% hoá đơn thật</t>
  </si>
  <si>
    <t>Lỗi MST/tiền bỏ lọt (sai mà không gắn cờ) = 0 trên ≥ 2.000 hoá đơn thật ở Mức 0 (chặn trên ≈ 0,15% theo quy tắc 3/n); bộ đề mở rộng 120 ca: đạt quy về thực tế ≥ 95%, lỗi nghiêm trọng 0, số tầng tụt 0, kappa ≥ 0,6; tỷ lệ gắn cờ ≤ 20%; chị Hạnh xác nhận</t>
  </si>
  <si>
    <t>Bộ đề 120 ca (thêm 80 ca ≈ 17 giờ chuyên gia, chị Hạnh chỉ có 3 giờ/tuần); bảng giám sát cờ thừa; nhật ký; cảnh báo ngay khi có 1 lỗi MST/tiền</t>
  </si>
  <si>
    <t>T3–T4</t>
  </si>
  <si>
    <t>Tự động một phần</t>
  </si>
  <si>
    <t>AI tự nhập cả hoá đơn ảnh dễ; tự chuyển người khi khó hoặc ngoài phạm vi</t>
  </si>
  <si>
    <t>Xử lý hoá đơn chuyển lên; duyệt ngẫu nhiên 10%; chị Hạnh kiểm 1% hoá đơn thật mỗi tuần</t>
  </si>
  <si>
    <t>Lỗi MST/tiền bỏ lọt = 0 trên ≥ 5.000 hoá đơn thật ở Mức 1, gồm ≥ 500 hoá đơn mẫu ngẫu nhiên được đối chiếu (chặn trên ≈ 0,6%); bộ đề 200 ca: đạt ≥ 95%, số tầng tụt 0, kappa ≥ 0,6; cờ thừa ≤ 15%; chị Hạnh xác nhận</t>
  </si>
  <si>
    <t>Bộ đề 200 ca (≈ 42,5 giờ chuyên gia, làm dần theo tuần); hàng chờ duyệt; quy trình xử lý khiếu nại; lưu vết 100% hoá đơn; nhật ký sẵn sàng cung cấp khi thanh tra (Điều 28.3); quy trình báo sự cố nghiêm trọng (Điều 12)</t>
  </si>
  <si>
    <t>T5–T7</t>
  </si>
  <si>
    <t>Tự động có giám sát</t>
  </si>
  <si>
    <t>AI tự nhập gần hết hoá đơn; chỉ chuyển người ca nguy hiểm hoặc ngoài phạm vi</t>
  </si>
  <si>
    <t>Theo dõi bảng giám sát; duyệt mẫu 5%; xử lý ngoại lệ</t>
  </si>
  <si>
    <t>Lỗi MST/tiền bỏ lọt = 0 trên ≥ 10.000 hoá đơn thật ở Mức 2 (chặn trên ≈ 0,03%); khiếu nại &lt; 1%; mẫu duyệt 5% có ≥ 500 hoá đơn đạt ≥ 99%; chị Hạnh ký xác nhận</t>
  </si>
  <si>
    <t>Dữ liệu vận hành ≥ 6 tháng; bộ đề cập nhật theo lỗi thật; kiểm tra nội bộ định kỳ; xem lại mức rủi ro (Điều 9–10); giữ khả năng can thiệp của người, không vô hiệu hoá giám sát (Điều 4.2, 7.4)</t>
  </si>
  <si>
    <t>T8+ (chỉ khi Mức 2 giữ biên ≥ 60% và không có lỗi MST/tiền)</t>
  </si>
  <si>
    <t>SỐ LIỆU KINH TẾ CỦA ĐỀ (đã điền sẵn từ hồ sơ tình huống; sửa được nếu nhóm có lý do)</t>
  </si>
  <si>
    <t>Chi phí gọi AI / việc (đã tính gọi lại)</t>
  </si>
  <si>
    <t>Hồ sơ, bảng Số liệu kinh tế, dòng 1</t>
  </si>
  <si>
    <t>Hạ tầng + đánh giá + khác / việc</t>
  </si>
  <si>
    <t>dòng 2</t>
  </si>
  <si>
    <t>Số phút người duyệt / việc</t>
  </si>
  <si>
    <t>dòng 3</t>
  </si>
  <si>
    <t>Chi phí 1 giờ người duyệt (đ)</t>
  </si>
  <si>
    <t>dòng 4</t>
  </si>
  <si>
    <t>Doanh thu bình quân / khách / tháng (đ)</t>
  </si>
  <si>
    <t>dòng 5</t>
  </si>
  <si>
    <t>Số việc bình quân / khách / tháng</t>
  </si>
  <si>
    <t>dòng 6</t>
  </si>
  <si>
    <t>Biến nguy hiểm nhất</t>
  </si>
  <si>
    <t>Doanh thu bình quân (65% doanh thu đến từ 30% văn phòng dùng nhiều)</t>
  </si>
  <si>
    <t>dòng 7</t>
  </si>
  <si>
    <t>Điều kiện dừng đã chọn (theo đề)</t>
  </si>
  <si>
    <t>NẾU doanh thu bình quân dưới 3,71 triệu/văn phòng trong 2 tháng liên tiếp, trên ít nhất 10 văn phòng, THÌ dừng mở rộng</t>
  </si>
  <si>
    <t>dòng 8</t>
  </si>
  <si>
    <t>Kịch bản xấu hết tiền ở tháng</t>
  </si>
  <si>
    <t>dòng 9</t>
  </si>
  <si>
    <t>Ghi chú: người duyệt của mình là kế toán viên của công ty. Gợi ý của đề: Mức 1 duyệt khoảng 20%; Mức 2 khoảng 10%.</t>
  </si>
  <si>
    <t>3 · Bảng lộ trình theo giả thuyết: Bây giờ / Tiếp theo / Sau này</t>
  </si>
  <si>
    <t>Bây giờ = cam kết (0–3 tháng) · Tiếp theo = định hướng (3–6 tháng) · Sau này = khám phá (6–12 tháng). Càng xa càng ít chi tiết.</t>
  </si>
  <si>
    <t>Dòng</t>
  </si>
  <si>
    <t>Bây giờ (0–3 tháng)</t>
  </si>
  <si>
    <t>Tiếp theo (3–6 tháng)</t>
  </si>
  <si>
    <t>Sau này (6–12 tháng)</t>
  </si>
  <si>
    <t>Việc chính (lấy từ trang 1)</t>
  </si>
  <si>
    <t>Gắn cờ hoá đơn cần người xem (hạng 1) + đối chiếu MST người bán (hạng 2) + đọc ảnh hoá đơn (hạng 3); kiểm chứng doanh thu bình quân (hạng 4)</t>
  </si>
  <si>
    <t>Nhập hoá đơn điện tử bằng tính năng phần mềm kế toán có sẵn (mua, hạng 5); nâng hoá đơn ảnh dễ lên Mức 2</t>
  </si>
  <si>
    <t>Gợi ý tài khoản hạch toán khi có dữ liệu hạch toán (hạng 6); thử Mức 3. Không làm hỏi đáp thuế chung: rủi ro bị nuốt 0,9</t>
  </si>
  <si>
    <t>Giả thuyết</t>
  </si>
  <si>
    <t>Gắn cờ đúng + đọc ảnh theo hai bước giúp kế toán chỉ xem ≈ 20% hoá đơn mà không để lọt sai MST/tiền; văn phòng dùng nhiều vẫn trả đủ</t>
  </si>
  <si>
    <t>Khi lỗi bỏ lọt vẫn = 0 ở Mức 1, giảm duyệt xuống ≈ 10% vẫn an toàn</t>
  </si>
  <si>
    <t>Có dữ liệu hạch toán của khách thì gợi ý tài khoản giảm được 30% thời gian hạch toán</t>
  </si>
  <si>
    <t>Gắn cờ ≤ 20% hoá đơn; lỗi MST/tiền bỏ lọt = 0; giờ nhập hoá đơn ảnh giảm ≥ 50%; doanh thu bình quân ≥ 3,71 triệu/văn phòng</t>
  </si>
  <si>
    <t>Lỗi bỏ lọt = 0 trên ≥ 5.000 hoá đơn; cờ thừa ≤ 15%; giờ nhập hoá đơn điện tử giảm ≥ 70%</t>
  </si>
  <si>
    <t>Thời gian hạch toán giảm ≥ 30%; khiếu nại &lt; 1%</t>
  </si>
  <si>
    <t>Mức tự động (trang 2)</t>
  </si>
  <si>
    <t>Mức 0 → 1 (duyệt 100% → ≈ 20%)</t>
  </si>
  <si>
    <t>Mức 2 (duyệt ≈ 10%)</t>
  </si>
  <si>
    <t>Mức 3 (duyệt ≈ 5%) nếu qua cổng; gợi ý hạch toán ở Mức 0</t>
  </si>
  <si>
    <t>Cổng đánh giá</t>
  </si>
  <si>
    <t>≥ 2.000 hoá đơn thật: lỗi bỏ lọt = 0; bộ đề 120 ca đạt ≥ 95%, lỗi nghiêm trọng 0; chị Hạnh xác nhận</t>
  </si>
  <si>
    <t>≥ 5.000 hoá đơn thật, ≥ 500 mẫu ngẫu nhiên: lỗi bỏ lọt = 0; bộ đề 200 ca đạt ≥ 95%</t>
  </si>
  <si>
    <t>≥ 10.000 hoá đơn thật: lỗi bỏ lọt = 0; khiếu nại &lt; 1%</t>
  </si>
  <si>
    <t>Điều kiện cần: dữ liệu / hạ tầng / tuân thủ</t>
  </si>
  <si>
    <t>Dữ liệu: bộ đề 40 → 120 ca (thêm ≈ 17 giờ; chị Hạnh chỉ có 3 giờ sáng thứ Bảy/tuần, anh Tùng chấm cùng). Hạ tầng: tích hợp phần mềm kế toán và dịch vụ tra cứu MST, nhật ký chỗ sửa. Tuân thủ (Luật AI 134/2025/QH15): tự phân loại rủi ro và lập hồ sơ (Điều 10.1); nếu ra mức trung bình/cao thì thông báo Bộ KH&amp;CN trước khi dùng (Điều 10.3); báo văn phòng biết hoá đơn do AI đọc (Điều 11.1)</t>
  </si>
  <si>
    <t>Bộ đề 200 ca (≈ 42,5 giờ chuyên gia); hàng chờ duyệt; quy trình khiếu nại; cảnh báo ngay khi có 1 lỗi MST/tiền; quy trình báo sự cố nghiêm trọng (Điều 12.2b); nhật ký sẵn sàng cho thanh tra (Điều 28.3)</t>
  </si>
  <si>
    <t>Dữ liệu hạch toán của khách (hiện chưa có) kèm thoả thuận xử lý dữ liệu (Điều 7.3); kiểm tra nội bộ; nếu bị xếp rủi ro cao: đánh giá sự phù hợp trước khi dùng (Điều 13) và giữ giám sát của người (Điều 14)</t>
  </si>
  <si>
    <t>Căn cứ kinh tế (số liệu của đề và trang 2)</t>
  </si>
  <si>
    <t>Mức 0: 1.704 đ/việc, biên 24,5% (&lt;60%); Mức 1: 704 đ, biên 68,8% (≥ 60%) → rút ngắn Mức 0 còn ≈ 2 tháng. Kịch bản xấu hết tiền tháng 7 → cần ≥ 10 văn phòng trước tháng 2 để chốt quyết định tháng 4–5</t>
  </si>
  <si>
    <t>Mức 2: 579 đ/việc, biên 74,3%; mở rộng khi doanh thu bình quân ≥ 3,71 triệu/văn phòng</t>
  </si>
  <si>
    <t>Mức 3: 517 đ/việc, biên 77,1%; chỉ làm nếu giữ biên ≥ 60% và doanh thu bình quân ≥ 3,71 triệu</t>
  </si>
  <si>
    <t>Điều kiện dừng / đổi hướng</t>
  </si>
  <si>
    <t>Doanh thu bình quân &lt; 3,71 triệu/văn phòng trong 2 tháng liên tiếp, trên ≥ 10 văn phòng (đo từ tháng 3) → dừng mở rộng. Có 1 lỗi MST/tiền bỏ lọt → lùi ngay về Mức 0 và chạy lại bộ đề. Gắn cờ &gt; 30% hoá đơn 2 tuần liền → chỉnh ngưỡng cờ</t>
  </si>
  <si>
    <t>Lỗi MST/tiền bỏ lọt ≥ 1 hoặc khiếu nại &gt; 1% → lùi về Mức 1</t>
  </si>
  <si>
    <t>Phần mềm kế toán ra tính năng đọc ảnh tương tự → bỏ việc bị nuốt, dồn lực vào gắn cờ và đối chiếu MST</t>
  </si>
  <si>
    <t>4 · Lịch rà soát lộ trình</t>
  </si>
  <si>
    <t>Rà soát theo lịch VÀ mỗi khi có sự kiện. Ở mốc 30/60/90 chọn 1 trong 4: đi tiếp, sửa, đổi hướng, dừng.</t>
  </si>
  <si>
    <t>Mốc / sự kiện</t>
  </si>
  <si>
    <t>Nhìn vào chỉ số nào</t>
  </si>
  <si>
    <t>Quyết định có thể đưa ra</t>
  </si>
  <si>
    <t>Ai quyết</t>
  </si>
  <si>
    <t>Ngày 30</t>
  </si>
  <si>
    <t>Tỷ lệ gắn cờ (≤ 20%); cờ thừa; lỗi MST/tiền bỏ lọt; số hoá đơn thật đã xử lý; số văn phòng đã vào thử (mục tiêu ≥ 10)</t>
  </si>
  <si>
    <t>Đi tiếp / Sửa (ngưỡng gắn cờ, hướng dẫn kế toán viên)</t>
  </si>
  <si>
    <t>Quản lý sản phẩm + chị Hạnh</t>
  </si>
  <si>
    <t>Ngày 60</t>
  </si>
  <si>
    <t>Cổng Mức 0 → 1: lỗi bỏ lọt = 0 trên ≥ 2.000 hoá đơn thật; bộ đề 120 ca ≥ 95%, lỗi nghiêm trọng 0; số văn phòng đã vào thử</t>
  </si>
  <si>
    <t>Đi tiếp (lên Mức 1) / Sửa (giữ Mức 0, thêm ca lỗi vào bộ đề)</t>
  </si>
  <si>
    <t>Quản lý sản phẩm + chị Hạnh (kế toán trưởng)</t>
  </si>
  <si>
    <t>Ngày 90</t>
  </si>
  <si>
    <t>Doanh thu bình quân so với 3,71 triệu (mới 1–2 tháng dữ liệu); số văn phòng ≥ 10; biên lợi nhuận Mức 1 so với 60%; lỗi bỏ lọt</t>
  </si>
  <si>
    <t>Đi tiếp (mở rộng) / Sửa / Đổi hướng / Dừng mở rộng</t>
  </si>
  <si>
    <t>Ban lãnh đạo</t>
  </si>
  <si>
    <t>Có mô hình mới / giá gọi AI giảm mạnh</t>
  </si>
  <si>
    <t>Chạy lại bộ đề 40 ca (≈ 8,5 giờ chuyên gia); tính lại 254 đ gọi AI mỗi việc</t>
  </si>
  <si>
    <t>Đổi mô hình? Giảm giá? Lên mức tự động sớm hơn?</t>
  </si>
  <si>
    <t>Quản lý sản phẩm + trưởng nhóm kỹ thuật</t>
  </si>
  <si>
    <t>Nền tảng hoặc đối thủ ra tính năng tương tự</t>
  </si>
  <si>
    <t>Việc nào bị 'nuốt': phần mềm kế toán ra tính năng đọc ảnh hoặc gắn cờ</t>
  </si>
  <si>
    <t>Bỏ việc bị nuốt, dồn lực vào gắn cờ và đối chiếu MST</t>
  </si>
  <si>
    <t>Quy định pháp lý thay đổi</t>
  </si>
  <si>
    <t>Mức rủi ro của hệ thống (Điều 9); nghị định hướng dẫn mới; mốc chuyển tiếp 01/3/2027 (hoặc 01/9/2027 nếu tính là tài chính) nếu hệ thống chạy trước 01/3/2026 (Điều 35)</t>
  </si>
  <si>
    <t>Phân loại lại (Điều 10.2); bổ sung hồ sơ; đánh giá sự phù hợp nếu bị xếp rủi ro cao (Điều 13); thêm nhật ký và kiểm soát</t>
  </si>
  <si>
    <t>Quản lý sản phẩm + pháp chế</t>
  </si>
  <si>
    <t>Ngày 90 chưa đo được giá trị vòng đời thật: khách mới dùng 3 tháng. Chỉ dùng chỉ số đã có đủ dữ liệu.</t>
  </si>
  <si>
    <t>5 · Lộ trình 1 slide cho lãnh đạo</t>
  </si>
  <si>
    <t>Kết luận trước. Không quá 60 chữ mỗi ô (cột C tự đếm).</t>
  </si>
  <si>
    <t>Số chữ</t>
  </si>
  <si>
    <t>Đạt?</t>
  </si>
  <si>
    <t>Kết luận (1 câu)</t>
  </si>
  <si>
    <t>Làm trước gắn cờ hoá đơn, đối chiếu mã số thuế và đọc ảnh ở Mức 0→1, vì bản 2 đã qua cổng (97,3%). Chỉ lên Mức 1 khi lỗi mã số thuế/tiền bỏ lọt bằng 0 trên ≥ 2.000 hoá đơn thật; quyết định mở rộng ở ngày 90.</t>
  </si>
  <si>
    <t>3 việc chính</t>
  </si>
  <si>
    <t>Bây giờ: gắn cờ + đối chiếu mã số thuế + đọc ảnh hoá đơn · Tiếp theo: nhập hoá đơn điện tử bằng phần mềm kế toán có sẵn, lên Mức 2 · Sau này: gợi ý tài khoản hạch toán khi có dữ liệu, thử Mức 3</t>
  </si>
  <si>
    <t>Cần gì (người, tiền, dữ liệu)</t>
  </si>
  <si>
    <t>Người: chị Hạnh 3 giờ thứ Bảy mỗi tuần và anh Tùng chấm bộ đề 120 ca (≈ 17 giờ thêm); kế toán viên duyệt. Tiền: kịch bản xấu hết tiền tháng 7. Dữ liệu: ≥ 10 văn phòng thử, tra cứu mã số thuế, tích hợp phần mềm kế toán.</t>
  </si>
  <si>
    <t>Rủi ro lớn nhất &amp; cách xử lý</t>
  </si>
  <si>
    <t>Doanh thu dồn vào 30% văn phòng dùng nhiều (65% doanh thu) → đo từ tháng 3; dưới 3,71 triệu/văn phòng 2 tháng liên tiếp trên ≥ 10 văn phòng thì dừng mở rộng. Có 1 lỗi mã số thuế/tiền bỏ lọt → lùi về Mức 0.</t>
  </si>
  <si>
    <t>Khi nào xem lại</t>
  </si>
  <si>
    <t>Ngày 30/60/90, và khi có mô hình mới hoặc giá gọi AI giảm, phần mềm kế toán ra tính năng đọc ảnh, hoặc quy định pháp lý đổi. Cổng Mức 1 xét ở ngày 60; doanh thu bình quân xét ở ngày 90.</t>
  </si>
  <si>
    <t>6 · Tự kiểm tra</t>
  </si>
  <si>
    <t>Chưa 'Đạt' thì quay lại sửa trước khi nộp file.</t>
  </si>
  <si>
    <t>Điểm kiểm tra</t>
  </si>
  <si>
    <t>Kết quả</t>
  </si>
  <si>
    <t>Số việc đã chấm điểm (cần ≥ 5)</t>
  </si>
  <si>
    <t>Việc được giữ lại mà thiếu giả thuyết hoặc chỉ số có con số (cần = 0)</t>
  </si>
  <si>
    <t>Số mức tự động có cổng đánh giá kèm con số (cần ≥ 2, không tính Mức 0)</t>
  </si>
  <si>
    <t>Bảng lộ trình: số ô tầng 'Bây giờ' đã điền (cần 8/8)</t>
  </si>
  <si>
    <t>Điều kiện dừng tầng 'Bây giờ' có con số</t>
  </si>
  <si>
    <t>Căn cứ kinh tế có con số (từ số liệu của đề)</t>
  </si>
  <si>
    <t>Slide lãnh đạo: số ô đạt (đủ chữ, không quá 60 chữ; cần 5)</t>
  </si>
  <si>
    <t>Số mức tự động có biên lợi nhuận ≥ 60% (cần ≥ 1)</t>
  </si>
  <si>
    <t>7 · Thang điểm sản phẩm (100 điểm)</t>
  </si>
  <si>
    <t>Tiêu chí</t>
  </si>
  <si>
    <t>Điểm</t>
  </si>
  <si>
    <t>Bài đạt khi</t>
  </si>
  <si>
    <t>Điểm nhóm</t>
  </si>
  <si>
    <t>Theo kết quả và giả thuyết</t>
  </si>
  <si>
    <t>Mỗi việc có giả thuyết, chỉ số và ngưỡng, không chỉ là tên tính năng</t>
  </si>
  <si>
    <t>Ưu tiên có căn cứ</t>
  </si>
  <si>
    <t>Bảng điểm ≥ 5 việc; có sẵn sàng dữ liệu, đánh giá và rủi ro bị nuốt; dùng số liệu kinh tế của đề; đổi thứ tự hoặc bỏ việc thì ghi lý do</t>
  </si>
  <si>
    <t>Mức tự động và cổng đánh giá</t>
  </si>
  <si>
    <t>≥ 2 mức có cổng bằng con số (chỉ số, ngưỡng, cỡ mẫu); có vai trò của người; có chi phí mỗi việc theo mức</t>
  </si>
  <si>
    <t>Điều kiện cần và rủi ro</t>
  </si>
  <si>
    <t>Nêu dữ liệu, hạ tầng, tuân thủ; điều kiện dừng đo được với quy mô thử nghiệm; có lịch rà soát</t>
  </si>
  <si>
    <t>Slide lãnh đạo</t>
  </si>
  <si>
    <t>Kết luận trước, ≤ 60 chữ mỗi ô, trả lời được "cần gì" và "khi nào xem lại"</t>
  </si>
  <si>
    <t>TỔNG</t>
  </si>
  <si>
    <t>THANG ĐIỂM TRÌNH BÀY (1–5 điểm mỗi tiêu chí)</t>
  </si>
  <si>
    <t>Mức 1</t>
  </si>
  <si>
    <t>Mức 3</t>
  </si>
  <si>
    <t>Mức 5</t>
  </si>
  <si>
    <t>Rõ ràng</t>
  </si>
  <si>
    <t>Câu đầu chưa có kết luận; người nghe phải đoán nhóm làm gì trước</t>
  </si>
  <si>
    <t>Có kết luận nhưng nói sau phần mở đầu, hoặc thiếu mốc quyết định</t>
  </si>
  <si>
    <t>Câu đầu có việc làm trước, mục tiêu bằng số và ngày quyết định</t>
  </si>
  <si>
    <t>Bằng chứng</t>
  </si>
  <si>
    <t>Không có cổng đánh giá, hoặc số không có nguồn</t>
  </si>
  <si>
    <t>Có cổng nhưng thiếu cỡ mẫu hoặc căn cứ kinh tế</t>
  </si>
  <si>
    <t>Cổng đủ chỉ số, ngưỡng, cỡ mẫu; căn cứ kinh tế lấy từ số liệu của đề</t>
  </si>
  <si>
    <t>Trả lời phản biện</t>
  </si>
  <si>
    <t>Né câu hỏi hoặc trả lời chung chung</t>
  </si>
  <si>
    <t>Trả lời đúng ý nhưng không dẫn số</t>
  </si>
  <si>
    <t>Trả lời thẳng, dẫn đúng con số trong file</t>
  </si>
  <si>
    <t>Đúng giờ</t>
  </si>
  <si>
    <t>Quá 4 phút</t>
  </si>
  <si>
    <t>Từ 3 đến 4 phút</t>
  </si>
  <si>
    <t>Không quá 3 phút</t>
  </si>
  <si>
    <t>Mức 2 và 4 dùng khi bài nằm giữa hai mô tả. Bản chuẩn của buổi học không có phần trình bày trên lớp: điểm buổi = thang sản phẩm 100 điểm ở trên. Thang trình bày chỉ dùng khi giảng viên tổ chức trình bày.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</si>
</sst>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charset val="1"/>
    </font>
    <font>
      <b/>
      <sz val="14"/>
      <name val="Cambria"/>
      <charset val="1"/>
    </font>
    <font>
      <i/>
      <sz val="11"/>
      <color rgb="FF595959"/>
      <name val="Cambria"/>
      <charset val="1"/>
    </font>
    <font>
      <b/>
      <sz val="11"/>
      <color rgb="FFFFFFFF"/>
      <name val="Cambria"/>
      <charset val="1"/>
    </font>
    <font>
      <b/>
      <sz val="11"/>
      <name val="Cambria"/>
      <charset val="1"/>
    </font>
    <font>
      <sz val="11"/>
      <name val="Calibri"/>
      <charset val="1"/>
    </font>
    <font>
      <i/>
      <sz val="10"/>
      <color rgb="FF595959"/>
      <name val="Calibri"/>
      <charset val="1"/>
    </font>
    <font>
      <b/>
      <sz val="12"/>
      <name val="Cambria"/>
      <charset val="1"/>
    </font>
  </fonts>
  <fills count="5">
    <fill>
      <patternFill patternType="none"/>
    </fill>
    <fill>
      <patternFill patternType="gray125"/>
    </fill>
    <fill>
      <patternFill patternType="solid">
        <fgColor rgb="FFFFF2CC"/>
        <bgColor rgb="FFE2EFDA"/>
      </patternFill>
    </fill>
    <fill>
      <patternFill patternType="solid">
        <fgColor rgb="FFE2EFDA"/>
        <bgColor rgb="FFFFF2CC"/>
      </patternFill>
    </fill>
    <fill>
      <patternFill patternType="solid">
        <fgColor rgb="FF1F3864"/>
        <bgColor rgb="FF33333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1">
    <xf numFmtId="0" fontId="0" fillId="0" borderId="0" xfId="0"/>
    <xf numFmtId="0" fontId="1" fillId="0" borderId="0" xfId="0" applyFont="1"/>
    <xf numFmtId="0" fontId="2" fillId="0" borderId="0" xfId="0" applyFont="1"/>
    <xf numFmtId="0" fontId="0" fillId="2" borderId="0" xfId="0" applyFill="1"/>
    <xf numFmtId="0" fontId="0" fillId="3" borderId="0" xfId="0" applyFill="1"/>
    <xf numFmtId="0" fontId="3" fillId="4" borderId="0" xfId="0" applyFont="1" applyFill="1" applyAlignment="1">
      <alignment wrapText="1"/>
    </xf>
    <xf numFmtId="0" fontId="0" fillId="0" borderId="1" xfId="0" applyBorder="1" applyAlignment="1">
      <alignment vertical="top" wrapText="1"/>
    </xf>
    <xf numFmtId="0" fontId="0" fillId="2" borderId="1" xfId="0" applyFill="1" applyBorder="1" applyAlignment="1" applyProtection="1">
      <alignment vertical="top" wrapText="1"/>
      <protection locked="0"/>
    </xf>
    <xf numFmtId="0" fontId="4" fillId="0" borderId="0" xfId="0" applyFont="1"/>
    <xf numFmtId="0" fontId="3" fillId="4" borderId="0" xfId="0" applyFont="1" applyFill="1" applyAlignment="1">
      <alignment vertical="center" wrapText="1"/>
    </xf>
    <xf numFmtId="0" fontId="0" fillId="0" borderId="1" xfId="0" applyBorder="1"/>
    <xf numFmtId="0" fontId="0" fillId="3" borderId="1" xfId="0" applyFill="1" applyBorder="1" applyAlignment="1">
      <alignment vertical="top" wrapText="1"/>
    </xf>
    <xf numFmtId="0" fontId="0" fillId="3" borderId="1" xfId="0" applyFill="1" applyBorder="1" applyAlignment="1">
      <alignment horizontal="center"/>
    </xf>
    <xf numFmtId="0" fontId="5" fillId="2" borderId="0" xfId="0" applyFont="1" applyFill="1" applyProtection="1">
      <protection locked="0"/>
    </xf>
    <xf numFmtId="9" fontId="5" fillId="2" borderId="0" xfId="0" applyNumberFormat="1" applyFont="1" applyFill="1" applyProtection="1">
      <protection locked="0"/>
    </xf>
    <xf numFmtId="38" fontId="5" fillId="3" borderId="0" xfId="0" applyNumberFormat="1" applyFont="1" applyFill="1"/>
    <xf numFmtId="9" fontId="5" fillId="3" borderId="0" xfId="0" applyNumberFormat="1" applyFont="1" applyFill="1"/>
    <xf numFmtId="0" fontId="5" fillId="3" borderId="0" xfId="0" applyFont="1" applyFill="1"/>
    <xf numFmtId="0" fontId="5" fillId="0" borderId="0" xfId="0" applyFont="1"/>
    <xf numFmtId="38" fontId="5" fillId="2" borderId="0" xfId="0" applyNumberFormat="1" applyFont="1" applyFill="1" applyProtection="1">
      <protection locked="0"/>
    </xf>
    <xf numFmtId="0" fontId="6" fillId="0" borderId="0" xfId="0" applyFont="1"/>
    <xf numFmtId="164" fontId="5" fillId="2" borderId="0" xfId="0" applyNumberFormat="1" applyFont="1" applyFill="1" applyProtection="1">
      <protection locked="0"/>
    </xf>
    <xf numFmtId="1" fontId="5" fillId="2" borderId="0" xfId="0" applyNumberFormat="1" applyFont="1" applyFill="1" applyProtection="1">
      <protection locked="0"/>
    </xf>
    <xf numFmtId="0" fontId="4" fillId="0" borderId="1" xfId="0" applyFont="1" applyBorder="1" applyAlignment="1">
      <alignment vertical="top" wrapText="1"/>
    </xf>
    <xf numFmtId="0" fontId="4" fillId="0" borderId="1" xfId="0" applyFont="1" applyBorder="1"/>
    <xf numFmtId="1" fontId="5" fillId="3" borderId="0" xfId="0" applyNumberFormat="1" applyFont="1" applyFill="1"/>
    <xf numFmtId="0" fontId="0" fillId="0" borderId="0" xfId="0" applyAlignment="1">
      <alignment vertical="top" wrapText="1"/>
    </xf>
    <xf numFmtId="0" fontId="0" fillId="2" borderId="0" xfId="0" applyFill="1" applyProtection="1">
      <protection locked="0"/>
    </xf>
    <xf numFmtId="0" fontId="7" fillId="0" borderId="0" xfId="0" applyFont="1"/>
    <xf numFmtId="0" fontId="4" fillId="0" borderId="0" xfId="0" applyFont="1" applyAlignment="1">
      <alignment vertical="top" wrapText="1"/>
    </xf>
    <xf numFmtId="0" fontId="5"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tabSelected="1" zoomScaleNormal="100" workbookViewId="0"/>
  </sheetViews>
  <sheetFormatPr defaultColWidth="8.7109375" defaultRowHeight="15" x14ac:dyDescent="0.25"/>
  <cols>
    <col min="1" max="1" width="120" customWidth="1"/>
  </cols>
  <sheetData>
    <row r="1" spans="1:1" ht="17.25" customHeight="1" x14ac:dyDescent="0.25">
      <c r="A1" s="1" t="s">
        <v>0</v>
      </c>
    </row>
    <row r="2" spans="1:1" ht="15" customHeight="1" x14ac:dyDescent="0.25">
      <c r="A2" s="2" t="s">
        <v>1</v>
      </c>
    </row>
    <row r="4" spans="1:1" ht="15" customHeight="1" x14ac:dyDescent="0.25">
      <c r="A4" t="s">
        <v>2</v>
      </c>
    </row>
    <row r="5" spans="1:1" ht="15" customHeight="1" x14ac:dyDescent="0.25">
      <c r="A5" t="s">
        <v>3</v>
      </c>
    </row>
    <row r="6" spans="1:1" ht="15" customHeight="1" x14ac:dyDescent="0.25">
      <c r="A6" t="s">
        <v>4</v>
      </c>
    </row>
    <row r="7" spans="1:1" ht="15" customHeight="1" x14ac:dyDescent="0.25">
      <c r="A7" t="s">
        <v>5</v>
      </c>
    </row>
    <row r="8" spans="1:1" ht="15" customHeight="1" x14ac:dyDescent="0.25">
      <c r="A8" t="s">
        <v>6</v>
      </c>
    </row>
    <row r="9" spans="1:1" ht="15" customHeight="1" x14ac:dyDescent="0.25">
      <c r="A9" t="s">
        <v>7</v>
      </c>
    </row>
    <row r="11" spans="1:1" ht="15" customHeight="1" x14ac:dyDescent="0.25">
      <c r="A11" t="s">
        <v>8</v>
      </c>
    </row>
    <row r="12" spans="1:1" ht="15" customHeight="1" x14ac:dyDescent="0.25">
      <c r="A12" s="3" t="s">
        <v>9</v>
      </c>
    </row>
    <row r="13" spans="1:1" ht="15" customHeight="1" x14ac:dyDescent="0.25">
      <c r="A13" s="4" t="s">
        <v>10</v>
      </c>
    </row>
  </sheetData>
  <sheetProtection sheet="1" formatColumns="0" formatRows="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
  <sheetViews>
    <sheetView zoomScaleNormal="100" workbookViewId="0"/>
  </sheetViews>
  <sheetFormatPr defaultColWidth="8.7109375" defaultRowHeight="15" x14ac:dyDescent="0.25"/>
  <cols>
    <col min="1" max="1" width="52" customWidth="1"/>
    <col min="2" max="2" width="14" customWidth="1"/>
    <col min="3" max="4" width="46" customWidth="1"/>
    <col min="5" max="5" width="36" customWidth="1"/>
  </cols>
  <sheetData>
    <row r="1" spans="1:5" ht="17.25" customHeight="1" x14ac:dyDescent="0.25">
      <c r="A1" s="1" t="s">
        <v>11</v>
      </c>
    </row>
    <row r="2" spans="1:5" ht="15" customHeight="1" x14ac:dyDescent="0.25">
      <c r="A2" s="2" t="s">
        <v>12</v>
      </c>
    </row>
    <row r="4" spans="1:5" ht="26.25" customHeight="1" x14ac:dyDescent="0.25">
      <c r="A4" s="5" t="s">
        <v>13</v>
      </c>
      <c r="B4" s="5" t="s">
        <v>14</v>
      </c>
      <c r="C4" s="5" t="s">
        <v>15</v>
      </c>
      <c r="D4" s="5" t="s">
        <v>16</v>
      </c>
      <c r="E4" s="5" t="s">
        <v>17</v>
      </c>
    </row>
    <row r="5" spans="1:5" ht="33.75" customHeight="1" x14ac:dyDescent="0.25">
      <c r="A5" s="6" t="s">
        <v>18</v>
      </c>
      <c r="B5" s="7" t="s">
        <v>19</v>
      </c>
      <c r="C5" s="6" t="s">
        <v>20</v>
      </c>
      <c r="D5" s="6" t="s">
        <v>21</v>
      </c>
      <c r="E5" s="7" t="s">
        <v>22</v>
      </c>
    </row>
    <row r="6" spans="1:5" ht="33.75" customHeight="1" x14ac:dyDescent="0.25">
      <c r="A6" s="6" t="s">
        <v>23</v>
      </c>
      <c r="B6" s="7" t="s">
        <v>19</v>
      </c>
      <c r="C6" s="6" t="s">
        <v>24</v>
      </c>
      <c r="D6" s="6" t="s">
        <v>25</v>
      </c>
      <c r="E6" s="7" t="s">
        <v>26</v>
      </c>
    </row>
    <row r="7" spans="1:5" ht="33.75" customHeight="1" x14ac:dyDescent="0.25">
      <c r="A7" s="6" t="s">
        <v>27</v>
      </c>
      <c r="B7" s="7" t="s">
        <v>19</v>
      </c>
      <c r="C7" s="6" t="s">
        <v>28</v>
      </c>
      <c r="D7" s="6" t="s">
        <v>29</v>
      </c>
      <c r="E7" s="7" t="s">
        <v>30</v>
      </c>
    </row>
    <row r="8" spans="1:5" ht="33.75" customHeight="1" x14ac:dyDescent="0.25">
      <c r="A8" s="6" t="s">
        <v>31</v>
      </c>
      <c r="B8" s="7" t="s">
        <v>19</v>
      </c>
      <c r="C8" s="6" t="s">
        <v>32</v>
      </c>
      <c r="D8" s="6" t="s">
        <v>33</v>
      </c>
      <c r="E8" s="7" t="s">
        <v>34</v>
      </c>
    </row>
    <row r="9" spans="1:5" ht="33.75" customHeight="1" x14ac:dyDescent="0.25">
      <c r="A9" s="6" t="s">
        <v>35</v>
      </c>
      <c r="B9" s="7" t="s">
        <v>19</v>
      </c>
      <c r="C9" s="6" t="s">
        <v>36</v>
      </c>
      <c r="D9" s="6" t="s">
        <v>37</v>
      </c>
      <c r="E9" s="7" t="s">
        <v>38</v>
      </c>
    </row>
    <row r="10" spans="1:5" ht="33.75" customHeight="1" x14ac:dyDescent="0.25">
      <c r="A10" s="6" t="s">
        <v>39</v>
      </c>
      <c r="B10" s="7" t="s">
        <v>19</v>
      </c>
      <c r="C10" s="6" t="s">
        <v>40</v>
      </c>
      <c r="D10" s="6" t="s">
        <v>41</v>
      </c>
      <c r="E10" s="7" t="s">
        <v>42</v>
      </c>
    </row>
    <row r="12" spans="1:5" ht="15" customHeight="1" x14ac:dyDescent="0.25">
      <c r="A12" s="8" t="s">
        <v>43</v>
      </c>
      <c r="B12" s="4">
        <f>COUNTIF(B5:B10,"Có")</f>
        <v>6</v>
      </c>
    </row>
    <row r="13" spans="1:5" ht="15" customHeight="1" x14ac:dyDescent="0.25">
      <c r="A13" s="2" t="s">
        <v>44</v>
      </c>
    </row>
  </sheetData>
  <sheetProtection sheet="1" formatColumns="0" formatRows="0"/>
  <dataValidations count="1">
    <dataValidation type="list" allowBlank="1" sqref="B5:B10" xr:uid="{00000000-0002-0000-0100-000000000000}">
      <formula1>"Có,Chưa"</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4"/>
  <sheetViews>
    <sheetView zoomScaleNormal="100" workbookViewId="0"/>
  </sheetViews>
  <sheetFormatPr defaultColWidth="8.7109375" defaultRowHeight="15" x14ac:dyDescent="0.25"/>
  <cols>
    <col min="1" max="1" width="4" customWidth="1"/>
    <col min="2" max="2" width="30" customWidth="1"/>
    <col min="3" max="3" width="28" customWidth="1"/>
    <col min="4" max="4" width="38" customWidth="1"/>
    <col min="5" max="5" width="32" customWidth="1"/>
    <col min="6" max="7" width="8" customWidth="1"/>
    <col min="8" max="8" width="11" customWidth="1"/>
    <col min="9" max="9" width="8" customWidth="1"/>
    <col min="10" max="10" width="11" customWidth="1"/>
    <col min="11" max="11" width="10" customWidth="1"/>
    <col min="12" max="12" width="13" customWidth="1"/>
    <col min="13" max="14" width="10" customWidth="1"/>
    <col min="15" max="15" width="12" customWidth="1"/>
    <col min="16" max="16" width="14" customWidth="1"/>
    <col min="17" max="17" width="58" customWidth="1"/>
  </cols>
  <sheetData>
    <row r="1" spans="1:17" ht="17.25" customHeight="1" x14ac:dyDescent="0.25">
      <c r="A1" s="1" t="s">
        <v>45</v>
      </c>
    </row>
    <row r="2" spans="1:17" ht="15" customHeight="1" x14ac:dyDescent="0.25">
      <c r="A2" s="2" t="s">
        <v>46</v>
      </c>
    </row>
    <row r="4" spans="1:17" ht="39" customHeight="1" x14ac:dyDescent="0.25">
      <c r="A4" s="9" t="s">
        <v>47</v>
      </c>
      <c r="B4" s="9" t="s">
        <v>48</v>
      </c>
      <c r="C4" s="9" t="s">
        <v>49</v>
      </c>
      <c r="D4" s="9" t="s">
        <v>50</v>
      </c>
      <c r="E4" s="9" t="s">
        <v>51</v>
      </c>
      <c r="F4" s="9" t="s">
        <v>52</v>
      </c>
      <c r="G4" s="9" t="s">
        <v>53</v>
      </c>
      <c r="H4" s="9" t="s">
        <v>54</v>
      </c>
      <c r="I4" s="9" t="s">
        <v>55</v>
      </c>
      <c r="J4" s="9" t="s">
        <v>56</v>
      </c>
      <c r="K4" s="9" t="s">
        <v>57</v>
      </c>
      <c r="L4" s="9" t="s">
        <v>58</v>
      </c>
      <c r="M4" s="9" t="s">
        <v>59</v>
      </c>
      <c r="N4" s="9" t="s">
        <v>60</v>
      </c>
      <c r="O4" s="9" t="s">
        <v>61</v>
      </c>
      <c r="P4" s="9" t="s">
        <v>62</v>
      </c>
      <c r="Q4" s="9" t="s">
        <v>63</v>
      </c>
    </row>
    <row r="5" spans="1:17" ht="34.5" customHeight="1" x14ac:dyDescent="0.25">
      <c r="A5" s="10">
        <v>1</v>
      </c>
      <c r="B5" s="7" t="s">
        <v>64</v>
      </c>
      <c r="C5" s="7" t="s">
        <v>65</v>
      </c>
      <c r="D5" s="7" t="s">
        <v>66</v>
      </c>
      <c r="E5" s="7" t="s">
        <v>67</v>
      </c>
      <c r="F5" s="7">
        <v>5</v>
      </c>
      <c r="G5" s="7">
        <v>5</v>
      </c>
      <c r="H5" s="7">
        <v>0.8</v>
      </c>
      <c r="I5" s="7">
        <v>3</v>
      </c>
      <c r="J5" s="7">
        <v>0.7</v>
      </c>
      <c r="K5" s="7">
        <v>0.9</v>
      </c>
      <c r="L5" s="7">
        <v>0.4</v>
      </c>
      <c r="M5" s="11">
        <f t="shared" ref="M5:M14" si="0">IF(COUNT(F5:L5)&lt;7,"",ROUND(F5*G5*H5/I5*(0.5+0.5*AVERAGE(J5:K5))*(1-0.5*L5),2))</f>
        <v>4.8</v>
      </c>
      <c r="N5" s="11">
        <f t="shared" ref="N5:N14" si="1">IF(M5="","",RANK(M5,$M$5:$M$14))</f>
        <v>3</v>
      </c>
      <c r="O5" s="12" t="str">
        <f>IF(B5="","",IF(OR(D5="",E5=""),"Thiếu",IF(SUMPRODUCT(--ISNUMBER(SEARCH({"0","1","2","3","4","5","6","7","8","9"},E5)))&gt;0,"Có","Thiếu")))</f>
        <v>Có</v>
      </c>
      <c r="P5" s="13" t="s">
        <v>68</v>
      </c>
      <c r="Q5" s="13" t="s">
        <v>69</v>
      </c>
    </row>
    <row r="6" spans="1:17" ht="23.25" customHeight="1" x14ac:dyDescent="0.25">
      <c r="A6" s="10">
        <v>2</v>
      </c>
      <c r="B6" s="7" t="s">
        <v>70</v>
      </c>
      <c r="C6" s="7" t="s">
        <v>71</v>
      </c>
      <c r="D6" s="7" t="s">
        <v>72</v>
      </c>
      <c r="E6" s="7" t="s">
        <v>73</v>
      </c>
      <c r="F6" s="7">
        <v>5</v>
      </c>
      <c r="G6" s="7">
        <v>5</v>
      </c>
      <c r="H6" s="7">
        <v>0.8</v>
      </c>
      <c r="I6" s="7">
        <v>2</v>
      </c>
      <c r="J6" s="7">
        <v>0.7</v>
      </c>
      <c r="K6" s="7">
        <v>0.9</v>
      </c>
      <c r="L6" s="7">
        <v>0.2</v>
      </c>
      <c r="M6" s="11">
        <f t="shared" si="0"/>
        <v>8.1</v>
      </c>
      <c r="N6" s="11">
        <f t="shared" si="1"/>
        <v>1</v>
      </c>
      <c r="O6" s="12" t="str">
        <f>IF(B6="","",IF(OR(D6="",E6=""),"Thiếu",IF(SUMPRODUCT(--ISNUMBER(SEARCH({"0","1","2","3","4","5","6","7","8","9"},E6)))&gt;0,"Có","Thiếu")))</f>
        <v>Có</v>
      </c>
      <c r="P6" s="13" t="s">
        <v>68</v>
      </c>
      <c r="Q6" s="13" t="s">
        <v>74</v>
      </c>
    </row>
    <row r="7" spans="1:17" ht="23.25" customHeight="1" x14ac:dyDescent="0.25">
      <c r="A7" s="10">
        <v>3</v>
      </c>
      <c r="B7" s="7" t="s">
        <v>75</v>
      </c>
      <c r="C7" s="7" t="s">
        <v>76</v>
      </c>
      <c r="D7" s="7" t="s">
        <v>77</v>
      </c>
      <c r="E7" s="7" t="s">
        <v>78</v>
      </c>
      <c r="F7" s="7">
        <v>4</v>
      </c>
      <c r="G7" s="7">
        <v>2</v>
      </c>
      <c r="H7" s="7">
        <v>1</v>
      </c>
      <c r="I7" s="7">
        <v>1</v>
      </c>
      <c r="J7" s="7">
        <v>1</v>
      </c>
      <c r="K7" s="7">
        <v>0.9</v>
      </c>
      <c r="L7" s="7">
        <v>0.9</v>
      </c>
      <c r="M7" s="11">
        <f t="shared" si="0"/>
        <v>4.29</v>
      </c>
      <c r="N7" s="11">
        <f t="shared" si="1"/>
        <v>5</v>
      </c>
      <c r="O7" s="12" t="str">
        <f>IF(B7="","",IF(OR(D7="",E7=""),"Thiếu",IF(SUMPRODUCT(--ISNUMBER(SEARCH({"0","1","2","3","4","5","6","7","8","9"},E7)))&gt;0,"Có","Thiếu")))</f>
        <v>Có</v>
      </c>
      <c r="P7" s="13" t="s">
        <v>79</v>
      </c>
      <c r="Q7" s="13" t="s">
        <v>80</v>
      </c>
    </row>
    <row r="8" spans="1:17" ht="23.25" customHeight="1" x14ac:dyDescent="0.25">
      <c r="A8" s="10">
        <v>4</v>
      </c>
      <c r="B8" s="7" t="s">
        <v>81</v>
      </c>
      <c r="C8" s="7" t="s">
        <v>82</v>
      </c>
      <c r="D8" s="7" t="s">
        <v>83</v>
      </c>
      <c r="E8" s="7" t="s">
        <v>84</v>
      </c>
      <c r="F8" s="7">
        <v>5</v>
      </c>
      <c r="G8" s="7">
        <v>4</v>
      </c>
      <c r="H8" s="7">
        <v>1</v>
      </c>
      <c r="I8" s="7">
        <v>2</v>
      </c>
      <c r="J8" s="7">
        <v>0.9</v>
      </c>
      <c r="K8" s="7">
        <v>0.9</v>
      </c>
      <c r="L8" s="7">
        <v>0.5</v>
      </c>
      <c r="M8" s="11">
        <f t="shared" si="0"/>
        <v>7.13</v>
      </c>
      <c r="N8" s="11">
        <f t="shared" si="1"/>
        <v>2</v>
      </c>
      <c r="O8" s="12" t="str">
        <f>IF(B8="","",IF(OR(D8="",E8=""),"Thiếu",IF(SUMPRODUCT(--ISNUMBER(SEARCH({"0","1","2","3","4","5","6","7","8","9"},E8)))&gt;0,"Có","Thiếu")))</f>
        <v>Có</v>
      </c>
      <c r="P8" s="13" t="s">
        <v>79</v>
      </c>
      <c r="Q8" s="13" t="s">
        <v>85</v>
      </c>
    </row>
    <row r="9" spans="1:17" ht="23.25" customHeight="1" x14ac:dyDescent="0.25">
      <c r="A9" s="10">
        <v>5</v>
      </c>
      <c r="B9" s="7" t="s">
        <v>86</v>
      </c>
      <c r="C9" s="7" t="s">
        <v>87</v>
      </c>
      <c r="D9" s="7" t="s">
        <v>88</v>
      </c>
      <c r="E9" s="7" t="s">
        <v>89</v>
      </c>
      <c r="F9" s="7">
        <v>4</v>
      </c>
      <c r="G9" s="7">
        <v>3</v>
      </c>
      <c r="H9" s="7">
        <v>0.5</v>
      </c>
      <c r="I9" s="7">
        <v>4</v>
      </c>
      <c r="J9" s="7">
        <v>0.2</v>
      </c>
      <c r="K9" s="7">
        <v>0.2</v>
      </c>
      <c r="L9" s="7">
        <v>0.5</v>
      </c>
      <c r="M9" s="11">
        <f t="shared" si="0"/>
        <v>0.68</v>
      </c>
      <c r="N9" s="11">
        <f t="shared" si="1"/>
        <v>6</v>
      </c>
      <c r="O9" s="12" t="str">
        <f>IF(B9="","",IF(OR(D9="",E9=""),"Thiếu",IF(SUMPRODUCT(--ISNUMBER(SEARCH({"0","1","2","3","4","5","6","7","8","9"},E9)))&gt;0,"Có","Thiếu")))</f>
        <v>Có</v>
      </c>
      <c r="P9" s="13" t="s">
        <v>90</v>
      </c>
      <c r="Q9" s="13" t="s">
        <v>91</v>
      </c>
    </row>
    <row r="10" spans="1:17" ht="23.25" customHeight="1" x14ac:dyDescent="0.25">
      <c r="A10" s="10">
        <v>6</v>
      </c>
      <c r="B10" s="7" t="s">
        <v>92</v>
      </c>
      <c r="C10" s="7" t="s">
        <v>93</v>
      </c>
      <c r="D10" s="7" t="s">
        <v>94</v>
      </c>
      <c r="E10" s="7" t="s">
        <v>95</v>
      </c>
      <c r="F10" s="7">
        <v>3</v>
      </c>
      <c r="G10" s="7">
        <v>2</v>
      </c>
      <c r="H10" s="7">
        <v>0.5</v>
      </c>
      <c r="I10" s="7">
        <v>2</v>
      </c>
      <c r="J10" s="7">
        <v>0.3</v>
      </c>
      <c r="K10" s="7">
        <v>0.1</v>
      </c>
      <c r="L10" s="7">
        <v>0.9</v>
      </c>
      <c r="M10" s="11">
        <f t="shared" si="0"/>
        <v>0.5</v>
      </c>
      <c r="N10" s="11">
        <f t="shared" si="1"/>
        <v>7</v>
      </c>
      <c r="O10" s="12" t="str">
        <f>IF(B10="","",IF(OR(D10="",E10=""),"Thiếu",IF(SUMPRODUCT(--ISNUMBER(SEARCH({"0","1","2","3","4","5","6","7","8","9"},E10)))&gt;0,"Có","Thiếu")))</f>
        <v>Có</v>
      </c>
      <c r="P10" s="13" t="s">
        <v>96</v>
      </c>
      <c r="Q10" s="13" t="s">
        <v>97</v>
      </c>
    </row>
    <row r="11" spans="1:17" ht="15" customHeight="1" x14ac:dyDescent="0.25">
      <c r="A11" s="10">
        <v>7</v>
      </c>
      <c r="B11" s="7" t="s">
        <v>98</v>
      </c>
      <c r="C11" s="7" t="s">
        <v>99</v>
      </c>
      <c r="D11" s="7" t="s">
        <v>100</v>
      </c>
      <c r="E11" s="7" t="s">
        <v>101</v>
      </c>
      <c r="F11" s="7">
        <v>2</v>
      </c>
      <c r="G11" s="7">
        <v>5</v>
      </c>
      <c r="H11" s="7">
        <v>0.5</v>
      </c>
      <c r="I11" s="7">
        <v>1</v>
      </c>
      <c r="J11" s="7">
        <v>0.9</v>
      </c>
      <c r="K11" s="7">
        <v>0.8</v>
      </c>
      <c r="L11" s="7">
        <v>0.1</v>
      </c>
      <c r="M11" s="11">
        <f t="shared" si="0"/>
        <v>4.3899999999999997</v>
      </c>
      <c r="N11" s="11">
        <f t="shared" si="1"/>
        <v>4</v>
      </c>
      <c r="O11" s="12" t="str">
        <f>IF(B11="","",IF(OR(D11="",E11=""),"Thiếu",IF(SUMPRODUCT(--ISNUMBER(SEARCH({"0","1","2","3","4","5","6","7","8","9"},E11)))&gt;0,"Có","Thiếu")))</f>
        <v>Có</v>
      </c>
      <c r="P11" s="13" t="s">
        <v>68</v>
      </c>
      <c r="Q11" s="13" t="s">
        <v>102</v>
      </c>
    </row>
    <row r="12" spans="1:17" ht="15" customHeight="1" x14ac:dyDescent="0.25">
      <c r="A12" s="10">
        <v>8</v>
      </c>
      <c r="B12" s="7"/>
      <c r="C12" s="7"/>
      <c r="D12" s="7"/>
      <c r="E12" s="7"/>
      <c r="F12" s="7"/>
      <c r="G12" s="7"/>
      <c r="H12" s="7"/>
      <c r="I12" s="7"/>
      <c r="J12" s="7"/>
      <c r="K12" s="7"/>
      <c r="L12" s="7"/>
      <c r="M12" s="11" t="str">
        <f t="shared" si="0"/>
        <v/>
      </c>
      <c r="N12" s="11" t="str">
        <f t="shared" si="1"/>
        <v/>
      </c>
      <c r="O12" s="12" t="str">
        <f>IF(B12="","",IF(OR(D12="",E12=""),"Thiếu",IF(SUMPRODUCT(--ISNUMBER(SEARCH({"0","1","2","3","4","5","6","7","8","9"},E12)))&gt;0,"Có","Thiếu")))</f>
        <v/>
      </c>
      <c r="P12" s="13"/>
      <c r="Q12" s="13"/>
    </row>
    <row r="13" spans="1:17" ht="15" customHeight="1" x14ac:dyDescent="0.25">
      <c r="A13" s="10">
        <v>9</v>
      </c>
      <c r="B13" s="7"/>
      <c r="C13" s="7"/>
      <c r="D13" s="7"/>
      <c r="E13" s="7"/>
      <c r="F13" s="7"/>
      <c r="G13" s="7"/>
      <c r="H13" s="7"/>
      <c r="I13" s="7"/>
      <c r="J13" s="7"/>
      <c r="K13" s="7"/>
      <c r="L13" s="7"/>
      <c r="M13" s="11" t="str">
        <f t="shared" si="0"/>
        <v/>
      </c>
      <c r="N13" s="11" t="str">
        <f t="shared" si="1"/>
        <v/>
      </c>
      <c r="O13" s="12" t="str">
        <f>IF(B13="","",IF(OR(D13="",E13=""),"Thiếu",IF(SUMPRODUCT(--ISNUMBER(SEARCH({"0","1","2","3","4","5","6","7","8","9"},E13)))&gt;0,"Có","Thiếu")))</f>
        <v/>
      </c>
      <c r="P13" s="13"/>
      <c r="Q13" s="13"/>
    </row>
    <row r="14" spans="1:17" ht="15" customHeight="1" x14ac:dyDescent="0.25">
      <c r="A14" s="10">
        <v>10</v>
      </c>
      <c r="B14" s="7"/>
      <c r="C14" s="7"/>
      <c r="D14" s="7"/>
      <c r="E14" s="7"/>
      <c r="F14" s="7"/>
      <c r="G14" s="7"/>
      <c r="H14" s="7"/>
      <c r="I14" s="7"/>
      <c r="J14" s="7"/>
      <c r="K14" s="7"/>
      <c r="L14" s="7"/>
      <c r="M14" s="11" t="str">
        <f t="shared" si="0"/>
        <v/>
      </c>
      <c r="N14" s="11" t="str">
        <f t="shared" si="1"/>
        <v/>
      </c>
      <c r="O14" s="12" t="str">
        <f>IF(B14="","",IF(OR(D14="",E14=""),"Thiếu",IF(SUMPRODUCT(--ISNUMBER(SEARCH({"0","1","2","3","4","5","6","7","8","9"},E14)))&gt;0,"Có","Thiếu")))</f>
        <v/>
      </c>
      <c r="P14" s="13"/>
      <c r="Q14" s="13"/>
    </row>
  </sheetData>
  <sheetProtection sheet="1" formatColumns="0" formatRows="0"/>
  <dataValidations count="4">
    <dataValidation type="whole" allowBlank="1" showErrorMessage="1" errorTitle="Ngoài thang điểm" error="Nhập số nguyên từ 1 đến 5." sqref="F5:G14 I5:I14" xr:uid="{00000000-0002-0000-0200-000000000000}">
      <formula1>1</formula1>
      <formula2>5</formula2>
    </dataValidation>
    <dataValidation type="decimal" allowBlank="1" showErrorMessage="1" errorTitle="Mức tự tin" error="Dùng 0,5 (đoán), 0,8 (có dấu hiệu) hoặc 1 (có số liệu)." sqref="H5:H14" xr:uid="{00000000-0002-0000-0200-000001000000}">
      <formula1>0.5</formula1>
      <formula2>1</formula2>
    </dataValidation>
    <dataValidation type="decimal" allowBlank="1" showErrorMessage="1" errorTitle="Ngoài thang 0–1" error="Nhập số từ 0 đến 1, ví dụ 0,6." sqref="J5:L14" xr:uid="{00000000-0002-0000-0200-000002000000}">
      <formula1>0</formula1>
      <formula2>1</formula2>
    </dataValidation>
    <dataValidation type="list" allowBlank="1" sqref="P5:P14" xr:uid="{00000000-0002-0000-0200-000003000000}">
      <formula1>"Tự làm,Mua,Chờ,Không làm"</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3"/>
  <sheetViews>
    <sheetView zoomScaleNormal="100" workbookViewId="0"/>
  </sheetViews>
  <sheetFormatPr defaultColWidth="8.7109375" defaultRowHeight="15" x14ac:dyDescent="0.25"/>
  <cols>
    <col min="1" max="1" width="6" customWidth="1"/>
    <col min="2" max="2" width="20" customWidth="1"/>
    <col min="3" max="3" width="34" customWidth="1"/>
    <col min="4" max="4" width="30" customWidth="1"/>
    <col min="5" max="5" width="44" customWidth="1"/>
    <col min="6" max="6" width="36" customWidth="1"/>
    <col min="7" max="8" width="12" customWidth="1"/>
    <col min="9" max="9" width="18" customWidth="1"/>
    <col min="10" max="10" width="14" customWidth="1"/>
    <col min="11" max="11" width="12" customWidth="1"/>
    <col min="12" max="12" width="13" customWidth="1"/>
    <col min="13" max="13" width="11" customWidth="1"/>
  </cols>
  <sheetData>
    <row r="1" spans="1:13" ht="17.25" customHeight="1" x14ac:dyDescent="0.25">
      <c r="A1" s="1" t="s">
        <v>103</v>
      </c>
    </row>
    <row r="2" spans="1:13" ht="15" customHeight="1" x14ac:dyDescent="0.25">
      <c r="A2" s="2" t="s">
        <v>104</v>
      </c>
    </row>
    <row r="4" spans="1:13" ht="26.25" customHeight="1" x14ac:dyDescent="0.25">
      <c r="A4" s="9" t="s">
        <v>105</v>
      </c>
      <c r="B4" s="9" t="s">
        <v>106</v>
      </c>
      <c r="C4" s="9" t="s">
        <v>107</v>
      </c>
      <c r="D4" s="9" t="s">
        <v>108</v>
      </c>
      <c r="E4" s="9" t="s">
        <v>109</v>
      </c>
      <c r="F4" s="9" t="s">
        <v>110</v>
      </c>
      <c r="G4" s="9" t="s">
        <v>111</v>
      </c>
      <c r="H4" s="9" t="s">
        <v>112</v>
      </c>
      <c r="I4" s="9" t="s">
        <v>113</v>
      </c>
      <c r="J4" s="9" t="s">
        <v>114</v>
      </c>
      <c r="K4" s="9" t="s">
        <v>115</v>
      </c>
      <c r="L4" s="9" t="s">
        <v>116</v>
      </c>
      <c r="M4" s="9" t="s">
        <v>117</v>
      </c>
    </row>
    <row r="5" spans="1:13" ht="48" customHeight="1" x14ac:dyDescent="0.25">
      <c r="A5" s="10">
        <v>0</v>
      </c>
      <c r="B5" s="7" t="s">
        <v>118</v>
      </c>
      <c r="C5" s="7" t="s">
        <v>119</v>
      </c>
      <c r="D5" s="7" t="s">
        <v>120</v>
      </c>
      <c r="E5" s="7" t="s">
        <v>121</v>
      </c>
      <c r="F5" s="7" t="s">
        <v>122</v>
      </c>
      <c r="G5" s="7" t="s">
        <v>123</v>
      </c>
      <c r="H5" s="14">
        <v>1</v>
      </c>
      <c r="I5" s="13" t="s">
        <v>124</v>
      </c>
      <c r="J5" s="15">
        <f>IF(H5="","",$B$12+$B$13+IF(I5="Người của mình",H5*$B$14*$B$15/60,0))</f>
        <v>1704</v>
      </c>
      <c r="K5" s="16">
        <f>IF(J5="","",IFERROR(($B$16-$B$17*J5)/$B$16,""))</f>
        <v>0.24457430730478588</v>
      </c>
      <c r="L5" s="17" t="str">
        <f>IF(K5="","",IF(K5&gt;=0.6,"Đạt","Dưới ngưỡng"))</f>
        <v>Dưới ngưỡng</v>
      </c>
    </row>
    <row r="6" spans="1:13" ht="48" customHeight="1" x14ac:dyDescent="0.25">
      <c r="A6" s="10">
        <v>1</v>
      </c>
      <c r="B6" s="7" t="s">
        <v>125</v>
      </c>
      <c r="C6" s="7" t="s">
        <v>126</v>
      </c>
      <c r="D6" s="7" t="s">
        <v>127</v>
      </c>
      <c r="E6" s="7" t="s">
        <v>128</v>
      </c>
      <c r="F6" s="7" t="s">
        <v>129</v>
      </c>
      <c r="G6" s="7" t="s">
        <v>130</v>
      </c>
      <c r="H6" s="14">
        <v>0.2</v>
      </c>
      <c r="I6" s="13" t="s">
        <v>124</v>
      </c>
      <c r="J6" s="15">
        <f>IF(H6="","",$B$12+$B$13+IF(I6="Người của mình",H6*$B$14*$B$15/60,0))</f>
        <v>704</v>
      </c>
      <c r="K6" s="16">
        <f>IF(J6="","",IFERROR(($B$16-$B$17*J6)/$B$16,""))</f>
        <v>0.68789924433249372</v>
      </c>
      <c r="L6" s="17" t="str">
        <f>IF(K6="","",IF(K6&gt;=0.6,"Đạt","Dưới ngưỡng"))</f>
        <v>Đạt</v>
      </c>
      <c r="M6" s="17" t="str">
        <f>IF(E6="","",IF(SUMPRODUCT(--ISNUMBER(SEARCH({"0","1","2","3","4","5","6","7","8","9"},E6)))&gt;0,"Có","Thiếu"))</f>
        <v>Có</v>
      </c>
    </row>
    <row r="7" spans="1:13" ht="48" customHeight="1" x14ac:dyDescent="0.25">
      <c r="A7" s="10">
        <v>2</v>
      </c>
      <c r="B7" s="7" t="s">
        <v>131</v>
      </c>
      <c r="C7" s="7" t="s">
        <v>132</v>
      </c>
      <c r="D7" s="7" t="s">
        <v>133</v>
      </c>
      <c r="E7" s="7" t="s">
        <v>134</v>
      </c>
      <c r="F7" s="7" t="s">
        <v>135</v>
      </c>
      <c r="G7" s="7" t="s">
        <v>136</v>
      </c>
      <c r="H7" s="14">
        <v>0.1</v>
      </c>
      <c r="I7" s="13" t="s">
        <v>124</v>
      </c>
      <c r="J7" s="15">
        <f>IF(H7="","",$B$12+$B$13+IF(I7="Người của mình",H7*$B$14*$B$15/60,0))</f>
        <v>579</v>
      </c>
      <c r="K7" s="16">
        <f>IF(J7="","",IFERROR(($B$16-$B$17*J7)/$B$16,""))</f>
        <v>0.74331486146095715</v>
      </c>
      <c r="L7" s="17" t="str">
        <f>IF(K7="","",IF(K7&gt;=0.6,"Đạt","Dưới ngưỡng"))</f>
        <v>Đạt</v>
      </c>
      <c r="M7" s="17" t="str">
        <f>IF(E7="","",IF(SUMPRODUCT(--ISNUMBER(SEARCH({"0","1","2","3","4","5","6","7","8","9"},E7)))&gt;0,"Có","Thiếu"))</f>
        <v>Có</v>
      </c>
    </row>
    <row r="8" spans="1:13" ht="48" customHeight="1" x14ac:dyDescent="0.25">
      <c r="A8" s="10">
        <v>3</v>
      </c>
      <c r="B8" s="7" t="s">
        <v>137</v>
      </c>
      <c r="C8" s="7" t="s">
        <v>138</v>
      </c>
      <c r="D8" s="7" t="s">
        <v>139</v>
      </c>
      <c r="E8" s="7" t="s">
        <v>140</v>
      </c>
      <c r="F8" s="7" t="s">
        <v>141</v>
      </c>
      <c r="G8" s="7" t="s">
        <v>142</v>
      </c>
      <c r="H8" s="14">
        <v>0.05</v>
      </c>
      <c r="I8" s="13" t="s">
        <v>124</v>
      </c>
      <c r="J8" s="15">
        <f>IF(H8="","",$B$12+$B$13+IF(I8="Người của mình",H8*$B$14*$B$15/60,0))</f>
        <v>516.5</v>
      </c>
      <c r="K8" s="16">
        <f>IF(J8="","",IFERROR(($B$16-$B$17*J8)/$B$16,""))</f>
        <v>0.77102267002518887</v>
      </c>
      <c r="L8" s="17" t="str">
        <f>IF(K8="","",IF(K8&gt;=0.6,"Đạt","Dưới ngưỡng"))</f>
        <v>Đạt</v>
      </c>
      <c r="M8" s="17" t="str">
        <f>IF(E8="","",IF(SUMPRODUCT(--ISNUMBER(SEARCH({"0","1","2","3","4","5","6","7","8","9"},E8)))&gt;0,"Có","Thiếu"))</f>
        <v>Có</v>
      </c>
    </row>
    <row r="11" spans="1:13" ht="15" customHeight="1" x14ac:dyDescent="0.25">
      <c r="A11" s="8" t="s">
        <v>143</v>
      </c>
    </row>
    <row r="12" spans="1:13" ht="15" customHeight="1" x14ac:dyDescent="0.25">
      <c r="A12" s="18" t="s">
        <v>144</v>
      </c>
      <c r="B12" s="19">
        <v>254</v>
      </c>
      <c r="C12" s="20" t="s">
        <v>145</v>
      </c>
    </row>
    <row r="13" spans="1:13" ht="15" customHeight="1" x14ac:dyDescent="0.25">
      <c r="A13" s="18" t="s">
        <v>146</v>
      </c>
      <c r="B13" s="19">
        <v>200</v>
      </c>
      <c r="C13" s="20" t="s">
        <v>147</v>
      </c>
    </row>
    <row r="14" spans="1:13" ht="15" customHeight="1" x14ac:dyDescent="0.25">
      <c r="A14" s="18" t="s">
        <v>148</v>
      </c>
      <c r="B14" s="21">
        <v>1.5</v>
      </c>
      <c r="C14" s="20" t="s">
        <v>149</v>
      </c>
    </row>
    <row r="15" spans="1:13" ht="15" customHeight="1" x14ac:dyDescent="0.25">
      <c r="A15" s="18" t="s">
        <v>150</v>
      </c>
      <c r="B15" s="19">
        <v>50000</v>
      </c>
      <c r="C15" s="20" t="s">
        <v>151</v>
      </c>
    </row>
    <row r="16" spans="1:13" ht="15" customHeight="1" x14ac:dyDescent="0.25">
      <c r="A16" s="18" t="s">
        <v>152</v>
      </c>
      <c r="B16" s="19">
        <v>3970000</v>
      </c>
      <c r="C16" s="20" t="s">
        <v>153</v>
      </c>
    </row>
    <row r="17" spans="1:3" ht="15" customHeight="1" x14ac:dyDescent="0.25">
      <c r="A17" s="18" t="s">
        <v>154</v>
      </c>
      <c r="B17" s="19">
        <v>1760</v>
      </c>
      <c r="C17" s="20" t="s">
        <v>155</v>
      </c>
    </row>
    <row r="18" spans="1:3" ht="15" customHeight="1" x14ac:dyDescent="0.25">
      <c r="A18" s="18" t="s">
        <v>156</v>
      </c>
      <c r="B18" s="13" t="s">
        <v>157</v>
      </c>
      <c r="C18" s="20" t="s">
        <v>158</v>
      </c>
    </row>
    <row r="19" spans="1:3" ht="15" customHeight="1" x14ac:dyDescent="0.25">
      <c r="A19" s="18" t="s">
        <v>159</v>
      </c>
      <c r="B19" s="13" t="s">
        <v>160</v>
      </c>
      <c r="C19" s="20" t="s">
        <v>161</v>
      </c>
    </row>
    <row r="20" spans="1:3" ht="15" customHeight="1" x14ac:dyDescent="0.25">
      <c r="A20" s="18" t="s">
        <v>162</v>
      </c>
      <c r="B20" s="22">
        <v>7</v>
      </c>
      <c r="C20" s="20" t="s">
        <v>163</v>
      </c>
    </row>
    <row r="22" spans="1:3" ht="15" customHeight="1" x14ac:dyDescent="0.25">
      <c r="A22" s="20" t="s">
        <v>164</v>
      </c>
    </row>
    <row r="23" spans="1:3" ht="15" customHeight="1" x14ac:dyDescent="0.25">
      <c r="A23" s="20"/>
    </row>
  </sheetData>
  <sheetProtection sheet="1" formatColumns="0" formatRows="0"/>
  <dataValidations count="2">
    <dataValidation type="list" allowBlank="1" sqref="I5:I8" xr:uid="{00000000-0002-0000-0300-000000000000}">
      <formula1>"Người của mình,Nhân viên cửa hàng"</formula1>
      <formula2>0</formula2>
    </dataValidation>
    <dataValidation type="decimal" allowBlank="1" sqref="H5:H8" xr:uid="{00000000-0002-0000-0300-000001000000}">
      <formula1>0</formula1>
      <formula2>1</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2"/>
  <sheetViews>
    <sheetView zoomScaleNormal="100" workbookViewId="0"/>
  </sheetViews>
  <sheetFormatPr defaultColWidth="8.7109375" defaultRowHeight="15" x14ac:dyDescent="0.25"/>
  <cols>
    <col min="1" max="1" width="30" customWidth="1"/>
    <col min="2" max="4" width="42" customWidth="1"/>
  </cols>
  <sheetData>
    <row r="1" spans="1:4" ht="17.25" customHeight="1" x14ac:dyDescent="0.25">
      <c r="A1" s="1" t="s">
        <v>165</v>
      </c>
    </row>
    <row r="2" spans="1:4" ht="15" customHeight="1" x14ac:dyDescent="0.25">
      <c r="A2" s="2" t="s">
        <v>166</v>
      </c>
    </row>
    <row r="4" spans="1:4" ht="15" customHeight="1" x14ac:dyDescent="0.25">
      <c r="A4" s="9" t="s">
        <v>167</v>
      </c>
      <c r="B4" s="9" t="s">
        <v>168</v>
      </c>
      <c r="C4" s="9" t="s">
        <v>169</v>
      </c>
      <c r="D4" s="9" t="s">
        <v>170</v>
      </c>
    </row>
    <row r="5" spans="1:4" ht="48" customHeight="1" x14ac:dyDescent="0.25">
      <c r="A5" s="23" t="s">
        <v>171</v>
      </c>
      <c r="B5" s="7" t="s">
        <v>172</v>
      </c>
      <c r="C5" s="7" t="s">
        <v>173</v>
      </c>
      <c r="D5" s="7" t="s">
        <v>174</v>
      </c>
    </row>
    <row r="6" spans="1:4" ht="48" customHeight="1" x14ac:dyDescent="0.25">
      <c r="A6" s="23" t="s">
        <v>175</v>
      </c>
      <c r="B6" s="7" t="s">
        <v>176</v>
      </c>
      <c r="C6" s="7" t="s">
        <v>177</v>
      </c>
      <c r="D6" s="7" t="s">
        <v>178</v>
      </c>
    </row>
    <row r="7" spans="1:4" ht="48" customHeight="1" x14ac:dyDescent="0.25">
      <c r="A7" s="23" t="s">
        <v>51</v>
      </c>
      <c r="B7" s="7" t="s">
        <v>179</v>
      </c>
      <c r="C7" s="7" t="s">
        <v>180</v>
      </c>
      <c r="D7" s="7" t="s">
        <v>181</v>
      </c>
    </row>
    <row r="8" spans="1:4" ht="48" customHeight="1" x14ac:dyDescent="0.25">
      <c r="A8" s="23" t="s">
        <v>182</v>
      </c>
      <c r="B8" s="7" t="s">
        <v>183</v>
      </c>
      <c r="C8" s="7" t="s">
        <v>184</v>
      </c>
      <c r="D8" s="7" t="s">
        <v>185</v>
      </c>
    </row>
    <row r="9" spans="1:4" ht="48" customHeight="1" x14ac:dyDescent="0.25">
      <c r="A9" s="23" t="s">
        <v>186</v>
      </c>
      <c r="B9" s="7" t="s">
        <v>187</v>
      </c>
      <c r="C9" s="7" t="s">
        <v>188</v>
      </c>
      <c r="D9" s="7" t="s">
        <v>189</v>
      </c>
    </row>
    <row r="10" spans="1:4" ht="48" customHeight="1" x14ac:dyDescent="0.25">
      <c r="A10" s="23" t="s">
        <v>190</v>
      </c>
      <c r="B10" s="7" t="s">
        <v>191</v>
      </c>
      <c r="C10" s="7" t="s">
        <v>192</v>
      </c>
      <c r="D10" s="7" t="s">
        <v>193</v>
      </c>
    </row>
    <row r="11" spans="1:4" ht="48" customHeight="1" x14ac:dyDescent="0.25">
      <c r="A11" s="23" t="s">
        <v>194</v>
      </c>
      <c r="B11" s="7" t="s">
        <v>195</v>
      </c>
      <c r="C11" s="7" t="s">
        <v>196</v>
      </c>
      <c r="D11" s="7" t="s">
        <v>197</v>
      </c>
    </row>
    <row r="12" spans="1:4" ht="48" customHeight="1" x14ac:dyDescent="0.25">
      <c r="A12" s="23" t="s">
        <v>198</v>
      </c>
      <c r="B12" s="7" t="s">
        <v>199</v>
      </c>
      <c r="C12" s="7" t="s">
        <v>200</v>
      </c>
      <c r="D12" s="7" t="s">
        <v>201</v>
      </c>
    </row>
  </sheetData>
  <sheetProtection sheet="1" formatColumns="0" formatRows="0"/>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2"/>
  <sheetViews>
    <sheetView zoomScaleNormal="100" workbookViewId="0"/>
  </sheetViews>
  <sheetFormatPr defaultColWidth="8.7109375" defaultRowHeight="15" x14ac:dyDescent="0.25"/>
  <cols>
    <col min="1" max="1" width="34" customWidth="1"/>
    <col min="2" max="3" width="40" customWidth="1"/>
    <col min="4" max="4" width="28" customWidth="1"/>
  </cols>
  <sheetData>
    <row r="1" spans="1:4" ht="17.25" customHeight="1" x14ac:dyDescent="0.25">
      <c r="A1" s="1" t="s">
        <v>202</v>
      </c>
    </row>
    <row r="2" spans="1:4" ht="15" customHeight="1" x14ac:dyDescent="0.25">
      <c r="A2" s="2" t="s">
        <v>203</v>
      </c>
    </row>
    <row r="4" spans="1:4" ht="15" customHeight="1" x14ac:dyDescent="0.25">
      <c r="A4" s="9" t="s">
        <v>204</v>
      </c>
      <c r="B4" s="9" t="s">
        <v>205</v>
      </c>
      <c r="C4" s="9" t="s">
        <v>206</v>
      </c>
      <c r="D4" s="9" t="s">
        <v>207</v>
      </c>
    </row>
    <row r="5" spans="1:4" ht="15" customHeight="1" x14ac:dyDescent="0.25">
      <c r="A5" s="7" t="s">
        <v>208</v>
      </c>
      <c r="B5" s="7" t="s">
        <v>209</v>
      </c>
      <c r="C5" s="7" t="s">
        <v>210</v>
      </c>
      <c r="D5" s="7" t="s">
        <v>211</v>
      </c>
    </row>
    <row r="6" spans="1:4" ht="15" customHeight="1" x14ac:dyDescent="0.25">
      <c r="A6" s="7" t="s">
        <v>212</v>
      </c>
      <c r="B6" s="7" t="s">
        <v>213</v>
      </c>
      <c r="C6" s="7" t="s">
        <v>214</v>
      </c>
      <c r="D6" s="7" t="s">
        <v>215</v>
      </c>
    </row>
    <row r="7" spans="1:4" ht="15" customHeight="1" x14ac:dyDescent="0.25">
      <c r="A7" s="7" t="s">
        <v>216</v>
      </c>
      <c r="B7" s="7" t="s">
        <v>217</v>
      </c>
      <c r="C7" s="7" t="s">
        <v>218</v>
      </c>
      <c r="D7" s="7" t="s">
        <v>219</v>
      </c>
    </row>
    <row r="8" spans="1:4" ht="15" customHeight="1" x14ac:dyDescent="0.25">
      <c r="A8" s="7" t="s">
        <v>220</v>
      </c>
      <c r="B8" s="7" t="s">
        <v>221</v>
      </c>
      <c r="C8" s="7" t="s">
        <v>222</v>
      </c>
      <c r="D8" s="7" t="s">
        <v>223</v>
      </c>
    </row>
    <row r="9" spans="1:4" ht="15" customHeight="1" x14ac:dyDescent="0.25">
      <c r="A9" s="7" t="s">
        <v>224</v>
      </c>
      <c r="B9" s="7" t="s">
        <v>225</v>
      </c>
      <c r="C9" s="7" t="s">
        <v>226</v>
      </c>
      <c r="D9" s="7" t="s">
        <v>219</v>
      </c>
    </row>
    <row r="10" spans="1:4" ht="15" customHeight="1" x14ac:dyDescent="0.25">
      <c r="A10" s="7" t="s">
        <v>227</v>
      </c>
      <c r="B10" s="7" t="s">
        <v>228</v>
      </c>
      <c r="C10" s="7" t="s">
        <v>229</v>
      </c>
      <c r="D10" s="7" t="s">
        <v>230</v>
      </c>
    </row>
    <row r="12" spans="1:4" ht="15" customHeight="1" x14ac:dyDescent="0.25">
      <c r="A12" s="20" t="s">
        <v>231</v>
      </c>
    </row>
  </sheetData>
  <sheetProtection sheet="1" formatColumns="0" formatRows="0"/>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8"/>
  <sheetViews>
    <sheetView zoomScaleNormal="100" workbookViewId="0"/>
  </sheetViews>
  <sheetFormatPr defaultColWidth="8.7109375" defaultRowHeight="15" x14ac:dyDescent="0.25"/>
  <cols>
    <col min="1" max="1" width="32" customWidth="1"/>
    <col min="2" max="2" width="90" customWidth="1"/>
    <col min="3" max="3" width="8" customWidth="1"/>
    <col min="4" max="4" width="12" customWidth="1"/>
  </cols>
  <sheetData>
    <row r="1" spans="1:4" ht="17.25" customHeight="1" x14ac:dyDescent="0.25">
      <c r="A1" s="1" t="s">
        <v>232</v>
      </c>
    </row>
    <row r="2" spans="1:4" ht="15" customHeight="1" x14ac:dyDescent="0.25">
      <c r="A2" s="2" t="s">
        <v>233</v>
      </c>
    </row>
    <row r="3" spans="1:4" ht="15" customHeight="1" x14ac:dyDescent="0.25">
      <c r="C3" s="24" t="s">
        <v>234</v>
      </c>
      <c r="D3" s="24" t="s">
        <v>235</v>
      </c>
    </row>
    <row r="4" spans="1:4" ht="33.75" customHeight="1" x14ac:dyDescent="0.25">
      <c r="A4" s="24" t="s">
        <v>236</v>
      </c>
      <c r="B4" s="7" t="s">
        <v>237</v>
      </c>
      <c r="C4" s="25">
        <f>IF(TRIM(B4)="",0,LEN(TRIM(B4))-LEN(SUBSTITUTE(TRIM(B4)," ",""))+1)</f>
        <v>50</v>
      </c>
      <c r="D4" s="17" t="str">
        <f>IF(C4=0,"Trống",IF(C4&gt;60,"Quá 60 chữ","Đạt"))</f>
        <v>Đạt</v>
      </c>
    </row>
    <row r="5" spans="1:4" ht="33.75" customHeight="1" x14ac:dyDescent="0.25">
      <c r="A5" s="24" t="s">
        <v>238</v>
      </c>
      <c r="B5" s="7" t="s">
        <v>239</v>
      </c>
      <c r="C5" s="25">
        <f>IF(TRIM(B5)="",0,LEN(TRIM(B5))-LEN(SUBSTITUTE(TRIM(B5)," ",""))+1)</f>
        <v>49</v>
      </c>
      <c r="D5" s="17" t="str">
        <f>IF(C5=0,"Trống",IF(C5&gt;60,"Quá 60 chữ","Đạt"))</f>
        <v>Đạt</v>
      </c>
    </row>
    <row r="6" spans="1:4" ht="33.75" customHeight="1" x14ac:dyDescent="0.25">
      <c r="A6" s="24" t="s">
        <v>240</v>
      </c>
      <c r="B6" s="7" t="s">
        <v>241</v>
      </c>
      <c r="C6" s="25">
        <f>IF(TRIM(B6)="",0,LEN(TRIM(B6))-LEN(SUBSTITUTE(TRIM(B6)," ",""))+1)</f>
        <v>51</v>
      </c>
      <c r="D6" s="17" t="str">
        <f>IF(C6=0,"Trống",IF(C6&gt;60,"Quá 60 chữ","Đạt"))</f>
        <v>Đạt</v>
      </c>
    </row>
    <row r="7" spans="1:4" ht="33.75" customHeight="1" x14ac:dyDescent="0.25">
      <c r="A7" s="24" t="s">
        <v>242</v>
      </c>
      <c r="B7" s="7" t="s">
        <v>243</v>
      </c>
      <c r="C7" s="25">
        <f>IF(TRIM(B7)="",0,LEN(TRIM(B7))-LEN(SUBSTITUTE(TRIM(B7)," ",""))+1)</f>
        <v>47</v>
      </c>
      <c r="D7" s="17" t="str">
        <f>IF(C7=0,"Trống",IF(C7&gt;60,"Quá 60 chữ","Đạt"))</f>
        <v>Đạt</v>
      </c>
    </row>
    <row r="8" spans="1:4" ht="33.75" customHeight="1" x14ac:dyDescent="0.25">
      <c r="A8" s="24" t="s">
        <v>244</v>
      </c>
      <c r="B8" s="7" t="s">
        <v>245</v>
      </c>
      <c r="C8" s="25">
        <f>IF(TRIM(B8)="",0,LEN(TRIM(B8))-LEN(SUBSTITUTE(TRIM(B8)," ",""))+1)</f>
        <v>43</v>
      </c>
      <c r="D8" s="17" t="str">
        <f>IF(C8=0,"Trống",IF(C8&gt;60,"Quá 60 chữ","Đạt"))</f>
        <v>Đạt</v>
      </c>
    </row>
  </sheetData>
  <sheetProtection sheet="1" formatColumns="0" formatRows="0"/>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2"/>
  <sheetViews>
    <sheetView zoomScaleNormal="100" workbookViewId="0"/>
  </sheetViews>
  <sheetFormatPr defaultColWidth="8.7109375" defaultRowHeight="15" x14ac:dyDescent="0.25"/>
  <cols>
    <col min="1" max="1" width="66" customWidth="1"/>
    <col min="2" max="3" width="14" customWidth="1"/>
  </cols>
  <sheetData>
    <row r="1" spans="1:3" ht="17.25" customHeight="1" x14ac:dyDescent="0.25">
      <c r="A1" s="1" t="s">
        <v>246</v>
      </c>
    </row>
    <row r="2" spans="1:3" ht="15" customHeight="1" x14ac:dyDescent="0.25">
      <c r="A2" s="2" t="s">
        <v>247</v>
      </c>
    </row>
    <row r="4" spans="1:3" ht="15" customHeight="1" x14ac:dyDescent="0.25">
      <c r="A4" s="9" t="s">
        <v>248</v>
      </c>
      <c r="B4" s="9" t="s">
        <v>249</v>
      </c>
      <c r="C4" s="9" t="s">
        <v>235</v>
      </c>
    </row>
    <row r="5" spans="1:3" ht="15" customHeight="1" x14ac:dyDescent="0.25">
      <c r="A5" s="10" t="s">
        <v>250</v>
      </c>
      <c r="B5" s="11">
        <f>COUNT('1_Danh sách việc'!M5:M14)</f>
        <v>7</v>
      </c>
      <c r="C5" s="11" t="str">
        <f>IF(B5&gt;=5,"Đạt","Xem lại")</f>
        <v>Đạt</v>
      </c>
    </row>
    <row r="6" spans="1:3" ht="15" customHeight="1" x14ac:dyDescent="0.25">
      <c r="A6" s="10" t="s">
        <v>251</v>
      </c>
      <c r="B6" s="11">
        <f>COUNTIFS('1_Danh sách việc'!O5:O14,"Thiếu",'1_Danh sách việc'!P5:P14,"&lt;&gt;Không làm")</f>
        <v>0</v>
      </c>
      <c r="C6" s="11" t="str">
        <f>IF(B5=0,"",IF(B6=0,"Đạt","Xem lại"))</f>
        <v>Đạt</v>
      </c>
    </row>
    <row r="7" spans="1:3" ht="15" customHeight="1" x14ac:dyDescent="0.25">
      <c r="A7" s="10" t="s">
        <v>252</v>
      </c>
      <c r="B7" s="11">
        <f>COUNTIF('2_Mức tự động'!M6:M8,"Có")</f>
        <v>3</v>
      </c>
      <c r="C7" s="11" t="str">
        <f>IF(B7&gt;=2,"Đạt","Xem lại")</f>
        <v>Đạt</v>
      </c>
    </row>
    <row r="8" spans="1:3" ht="15" customHeight="1" x14ac:dyDescent="0.25">
      <c r="A8" s="10" t="s">
        <v>253</v>
      </c>
      <c r="B8" s="11">
        <f>COUNTA('3_Bảng lộ trình'!B5:B12)</f>
        <v>8</v>
      </c>
      <c r="C8" s="11" t="str">
        <f>IF(B8=8,"Đạt","Xem lại")</f>
        <v>Đạt</v>
      </c>
    </row>
    <row r="9" spans="1:3" ht="15" customHeight="1" x14ac:dyDescent="0.25">
      <c r="A9" s="10" t="s">
        <v>254</v>
      </c>
      <c r="B9" s="11" t="str">
        <f>IF(AND(LEN('3_Bảng lộ trình'!B12)&gt;10,SUMPRODUCT(--ISNUMBER(SEARCH({"0","1","2","3","4","5","6","7","8","9"},'3_Bảng lộ trình'!B12)))&gt;0),"Có","Chưa")</f>
        <v>Có</v>
      </c>
      <c r="C9" s="11" t="str">
        <f>IF(B9="Có","Đạt","Xem lại")</f>
        <v>Đạt</v>
      </c>
    </row>
    <row r="10" spans="1:3" ht="15" customHeight="1" x14ac:dyDescent="0.25">
      <c r="A10" s="10" t="s">
        <v>255</v>
      </c>
      <c r="B10" s="11" t="str">
        <f>IF(AND(LEN('3_Bảng lộ trình'!B11)&gt;10,SUMPRODUCT(--ISNUMBER(SEARCH({"0","1","2","3","4","5","6","7","8","9"},'3_Bảng lộ trình'!B11)))&gt;0),"Có","Chưa")</f>
        <v>Có</v>
      </c>
      <c r="C10" s="11" t="str">
        <f>IF(B10="Có","Đạt","Xem lại")</f>
        <v>Đạt</v>
      </c>
    </row>
    <row r="11" spans="1:3" ht="15" customHeight="1" x14ac:dyDescent="0.25">
      <c r="A11" s="10" t="s">
        <v>256</v>
      </c>
      <c r="B11" s="11">
        <f>COUNTIF('5_Slide lãnh đạo'!D4:D8,"Đạt")</f>
        <v>5</v>
      </c>
      <c r="C11" s="11" t="str">
        <f>IF(B11=5,"Đạt","Xem lại")</f>
        <v>Đạt</v>
      </c>
    </row>
    <row r="12" spans="1:3" ht="15" customHeight="1" x14ac:dyDescent="0.25">
      <c r="A12" s="10" t="s">
        <v>257</v>
      </c>
      <c r="B12" s="11">
        <f>COUNTIF('2_Mức tự động'!L5:L8,"Đạt")</f>
        <v>3</v>
      </c>
      <c r="C12" s="11" t="str">
        <f>IF(B12&gt;=1,"Đạt","Xem lại")</f>
        <v>Đạt</v>
      </c>
    </row>
  </sheetData>
  <sheetProtection sheet="1" formatColumns="0" formatRows="0"/>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22"/>
  <sheetViews>
    <sheetView zoomScaleNormal="100" workbookViewId="0"/>
  </sheetViews>
  <sheetFormatPr defaultColWidth="8.7109375" defaultRowHeight="15" x14ac:dyDescent="0.25"/>
  <cols>
    <col min="1" max="1" width="32" customWidth="1"/>
    <col min="2" max="2" width="30" customWidth="1"/>
    <col min="3" max="3" width="80" customWidth="1"/>
    <col min="4" max="4" width="40" customWidth="1"/>
  </cols>
  <sheetData>
    <row r="1" spans="1:4" ht="17.25" customHeight="1" x14ac:dyDescent="0.25">
      <c r="A1" s="1" t="s">
        <v>258</v>
      </c>
    </row>
    <row r="2" spans="1:4" ht="15" customHeight="1" x14ac:dyDescent="0.25">
      <c r="A2" s="2"/>
    </row>
    <row r="4" spans="1:4" ht="15" customHeight="1" x14ac:dyDescent="0.25">
      <c r="A4" s="9" t="s">
        <v>259</v>
      </c>
      <c r="B4" s="9" t="s">
        <v>260</v>
      </c>
      <c r="C4" s="9" t="s">
        <v>261</v>
      </c>
      <c r="D4" s="9" t="s">
        <v>262</v>
      </c>
    </row>
    <row r="5" spans="1:4" ht="15" customHeight="1" x14ac:dyDescent="0.25">
      <c r="A5" s="10" t="s">
        <v>263</v>
      </c>
      <c r="B5">
        <v>20</v>
      </c>
      <c r="C5" s="26" t="s">
        <v>264</v>
      </c>
      <c r="D5" s="27"/>
    </row>
    <row r="6" spans="1:4" ht="15" customHeight="1" x14ac:dyDescent="0.25">
      <c r="A6" s="10" t="s">
        <v>265</v>
      </c>
      <c r="B6">
        <v>20</v>
      </c>
      <c r="C6" s="26" t="s">
        <v>266</v>
      </c>
      <c r="D6" s="27"/>
    </row>
    <row r="7" spans="1:4" ht="15" customHeight="1" x14ac:dyDescent="0.25">
      <c r="A7" s="10" t="s">
        <v>267</v>
      </c>
      <c r="B7">
        <v>25</v>
      </c>
      <c r="C7" s="26" t="s">
        <v>268</v>
      </c>
      <c r="D7" s="27"/>
    </row>
    <row r="8" spans="1:4" ht="15" customHeight="1" x14ac:dyDescent="0.25">
      <c r="A8" s="10" t="s">
        <v>269</v>
      </c>
      <c r="B8">
        <v>15</v>
      </c>
      <c r="C8" s="26" t="s">
        <v>270</v>
      </c>
      <c r="D8" s="27"/>
    </row>
    <row r="9" spans="1:4" ht="15" customHeight="1" x14ac:dyDescent="0.25">
      <c r="A9" s="10" t="s">
        <v>271</v>
      </c>
      <c r="B9">
        <v>20</v>
      </c>
      <c r="C9" s="26" t="s">
        <v>272</v>
      </c>
      <c r="D9" s="27"/>
    </row>
    <row r="10" spans="1:4" ht="15" customHeight="1" x14ac:dyDescent="0.25">
      <c r="A10" s="8" t="s">
        <v>273</v>
      </c>
      <c r="B10">
        <f>SUM(B5:B9)</f>
        <v>100</v>
      </c>
      <c r="D10" s="11">
        <f>SUM(D5:D9)</f>
        <v>0</v>
      </c>
    </row>
    <row r="12" spans="1:4" ht="15" customHeight="1" x14ac:dyDescent="0.25">
      <c r="A12" s="8"/>
      <c r="D12" s="27"/>
    </row>
    <row r="15" spans="1:4" ht="15" customHeight="1" x14ac:dyDescent="0.25">
      <c r="A15" s="28" t="s">
        <v>274</v>
      </c>
    </row>
    <row r="16" spans="1:4" ht="15" customHeight="1" x14ac:dyDescent="0.25">
      <c r="A16" s="9" t="s">
        <v>259</v>
      </c>
      <c r="B16" s="9" t="s">
        <v>275</v>
      </c>
      <c r="C16" s="9" t="s">
        <v>276</v>
      </c>
      <c r="D16" s="9" t="s">
        <v>277</v>
      </c>
    </row>
    <row r="17" spans="1:4" ht="45.75" customHeight="1" x14ac:dyDescent="0.25">
      <c r="A17" s="29" t="s">
        <v>278</v>
      </c>
      <c r="B17" s="30" t="s">
        <v>279</v>
      </c>
      <c r="C17" s="30" t="s">
        <v>280</v>
      </c>
      <c r="D17" s="30" t="s">
        <v>281</v>
      </c>
    </row>
    <row r="18" spans="1:4" ht="45.75" customHeight="1" x14ac:dyDescent="0.25">
      <c r="A18" s="29" t="s">
        <v>282</v>
      </c>
      <c r="B18" s="30" t="s">
        <v>283</v>
      </c>
      <c r="C18" s="30" t="s">
        <v>284</v>
      </c>
      <c r="D18" s="30" t="s">
        <v>285</v>
      </c>
    </row>
    <row r="19" spans="1:4" ht="45.75" customHeight="1" x14ac:dyDescent="0.25">
      <c r="A19" s="29" t="s">
        <v>286</v>
      </c>
      <c r="B19" s="30" t="s">
        <v>287</v>
      </c>
      <c r="C19" s="30" t="s">
        <v>288</v>
      </c>
      <c r="D19" s="30" t="s">
        <v>289</v>
      </c>
    </row>
    <row r="20" spans="1:4" ht="45.75" customHeight="1" x14ac:dyDescent="0.25">
      <c r="A20" s="29" t="s">
        <v>290</v>
      </c>
      <c r="B20" s="30" t="s">
        <v>291</v>
      </c>
      <c r="C20" s="30" t="s">
        <v>292</v>
      </c>
      <c r="D20" s="30" t="s">
        <v>293</v>
      </c>
    </row>
    <row r="22" spans="1:4" ht="15" customHeight="1" x14ac:dyDescent="0.25">
      <c r="A22" s="20" t="s">
        <v>294</v>
      </c>
    </row>
  </sheetData>
  <sheetProtection sheet="1" formatColumns="0" formatRows="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0_Hướng dẫn</vt:lpstr>
      <vt:lpstr>0_Đầu vào</vt:lpstr>
      <vt:lpstr>1_Danh sách việc</vt:lpstr>
      <vt:lpstr>2_Mức tự động</vt:lpstr>
      <vt:lpstr>3_Bảng lộ trình</vt:lpstr>
      <vt:lpstr>4_Rà soát</vt:lpstr>
      <vt:lpstr>5_Slide lãnh đạo</vt:lpstr>
      <vt:lpstr>6_Tự kiểm tra</vt:lpstr>
      <vt:lpstr>7_Thang điểm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trung130205@gmail.com</cp:lastModifiedBy>
  <cp:revision>0</cp:revision>
  <dcterms:created xsi:type="dcterms:W3CDTF">2026-10-04T05:24:07Z</dcterms:created>
  <dcterms:modified xsi:type="dcterms:W3CDTF">2026-10-16T09:22:03Z</dcterms:modified>
  <dc:language>en-US</dc:language>
</cp:coreProperties>
</file>